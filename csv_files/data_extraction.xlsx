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tuniversity-my.sharepoint.com/personal/mlut_itu_dk/Documents/Desktop/sys rev/"/>
    </mc:Choice>
  </mc:AlternateContent>
  <xr:revisionPtr revIDLastSave="180" documentId="11_B743C06ED04FA08FE33FECF44080BEB81EBA46DD" xr6:coauthVersionLast="47" xr6:coauthVersionMax="47" xr10:uidLastSave="{B9590DA2-1F7A-45F5-B50D-5883C0A63B2C}"/>
  <bookViews>
    <workbookView xWindow="-120" yWindow="-16320" windowWidth="29040" windowHeight="15720" tabRatio="500" xr2:uid="{00000000-000D-0000-FFFF-FFFF00000000}"/>
  </bookViews>
  <sheets>
    <sheet name="Data Extraction" sheetId="1" r:id="rId1"/>
  </sheets>
  <definedNames>
    <definedName name="_xlnm._FilterDatabase" localSheetId="0" hidden="1">'Data Extraction'!$A$1:$Q$189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86" i="1" l="1"/>
  <c r="L186" i="1"/>
  <c r="O185" i="1"/>
  <c r="L185" i="1"/>
  <c r="M167" i="1"/>
  <c r="O96" i="1"/>
  <c r="M96" i="1"/>
  <c r="L96" i="1"/>
  <c r="O47" i="1"/>
  <c r="M47" i="1"/>
  <c r="L47" i="1"/>
  <c r="O46" i="1"/>
  <c r="M46" i="1"/>
  <c r="L46" i="1"/>
</calcChain>
</file>

<file path=xl/sharedStrings.xml><?xml version="1.0" encoding="utf-8"?>
<sst xmlns="http://schemas.openxmlformats.org/spreadsheetml/2006/main" count="2555" uniqueCount="442">
  <si>
    <t>Title</t>
  </si>
  <si>
    <t>Authors</t>
  </si>
  <si>
    <t>Year</t>
  </si>
  <si>
    <t>DOI</t>
  </si>
  <si>
    <t>Dataset</t>
  </si>
  <si>
    <t>Clinical target</t>
  </si>
  <si>
    <t>Instrument</t>
  </si>
  <si>
    <t>Non-facial modalities</t>
  </si>
  <si>
    <t>Facial modality</t>
  </si>
  <si>
    <t>Metric</t>
  </si>
  <si>
    <t>Baseline config</t>
  </si>
  <si>
    <t>Baseline</t>
  </si>
  <si>
    <t>Unimodal face</t>
  </si>
  <si>
    <t>Multimodal config</t>
  </si>
  <si>
    <t>Multimodal (with face)</t>
  </si>
  <si>
    <t>Source table</t>
  </si>
  <si>
    <t>Is trimodal?</t>
  </si>
  <si>
    <t>Notes</t>
  </si>
  <si>
    <t>Audio-Visual Feature Disentanglement and Fusion Network for Automatic Depression Severity Prediction</t>
  </si>
  <si>
    <t>Li, Shao, Qin, Huang, Liang, Jiang, Deng, Liu, Tan</t>
  </si>
  <si>
    <t>10.1109/TAFFC.2025.3611238</t>
  </si>
  <si>
    <t>DAIC-WOZ</t>
  </si>
  <si>
    <t>Depression</t>
  </si>
  <si>
    <t>PHQ-8</t>
  </si>
  <si>
    <t>Audio</t>
  </si>
  <si>
    <t xml:space="preserve">OpenFace </t>
  </si>
  <si>
    <t>MAE</t>
  </si>
  <si>
    <t>A</t>
  </si>
  <si>
    <t>A+V</t>
  </si>
  <si>
    <t>Table VII</t>
  </si>
  <si>
    <t>N</t>
  </si>
  <si>
    <t>Performance metrics used was on the development set</t>
  </si>
  <si>
    <t>RMSE</t>
  </si>
  <si>
    <t>E-DAIC</t>
  </si>
  <si>
    <t>Bi-CFNet: A Multi-Task Audiovisual Framework with Visual Enhancement and Cross-Feedback for Depression Detection</t>
  </si>
  <si>
    <t>Chan, Zhai, Li, Wang, Mao</t>
  </si>
  <si>
    <t>10.1109/TAFFC.2026.3656117</t>
  </si>
  <si>
    <t>F1-Score</t>
  </si>
  <si>
    <t>Table IV</t>
  </si>
  <si>
    <t>Accuracy</t>
  </si>
  <si>
    <t>MDD-MARF: a multimodal depression detection model based on multi-level attention mechanism and residual fusion</t>
  </si>
  <si>
    <t>Zhou, Ge, Chen, Tan, Li</t>
  </si>
  <si>
    <t>10.1016/j.jbi.2025.104965</t>
  </si>
  <si>
    <t>Audio + Text</t>
  </si>
  <si>
    <t>A+T</t>
  </si>
  <si>
    <t>A+T+V</t>
  </si>
  <si>
    <t>Table 4</t>
  </si>
  <si>
    <t>Y</t>
  </si>
  <si>
    <t>Modeling Multimodal Depression Diagnosis From the Perspective of Local Depressive Representation</t>
  </si>
  <si>
    <t>Liang, Cao, Wang, Yang, Wang, Zaiane</t>
  </si>
  <si>
    <t>10.1109/TAFFC.2025.3625612</t>
  </si>
  <si>
    <t>AViD (AVEC 2014)</t>
  </si>
  <si>
    <t>BDI-II</t>
  </si>
  <si>
    <t xml:space="preserve">Audio </t>
  </si>
  <si>
    <t xml:space="preserve">Facial frames </t>
  </si>
  <si>
    <t>Table I</t>
  </si>
  <si>
    <t>Proprietary</t>
  </si>
  <si>
    <t>DASS</t>
  </si>
  <si>
    <t>Facial frames</t>
  </si>
  <si>
    <t>Table II</t>
  </si>
  <si>
    <t>Deep learning-based detection of depression by fusing auditory, visual and textual clues</t>
  </si>
  <si>
    <t>Xu, Chen, Tao, Xie, Liu, Lin, Liang, Du, Lin, Shi</t>
  </si>
  <si>
    <t>10.1016/j.jad.2025.119860</t>
  </si>
  <si>
    <t>Table 5</t>
  </si>
  <si>
    <t>DepMamba: Progressive Fusion Mamba for Multimodal Depression Detection</t>
  </si>
  <si>
    <t>Ye, Zhang, Shan</t>
  </si>
  <si>
    <t>10.1109/ICASSP49660.2025.10889975</t>
  </si>
  <si>
    <t>D-Vlog</t>
  </si>
  <si>
    <t>Facial landmarks</t>
  </si>
  <si>
    <t xml:space="preserve">Table II </t>
  </si>
  <si>
    <t>LMVD</t>
  </si>
  <si>
    <t>Diagnosis of depression based on facial multimodal data</t>
  </si>
  <si>
    <t>Jin, Ye, Li</t>
  </si>
  <si>
    <t>10.3389/fpsyt.2025.1508772</t>
  </si>
  <si>
    <t xml:space="preserve">Table 6 </t>
  </si>
  <si>
    <t xml:space="preserve"> GCN-LSTM as audio signal and VAFN as multimodal</t>
  </si>
  <si>
    <t>FC-AEN: Fully Convolutional Adaptive Ensemble Network for Automatic Depression Detection</t>
  </si>
  <si>
    <t>Wang, Lin, Teng, Cheng, Jiang, Yang</t>
  </si>
  <si>
    <t>10.1109/TCSS.2025.3602264</t>
  </si>
  <si>
    <t>AViD (AVEC 2013)</t>
  </si>
  <si>
    <t>CMDeep</t>
  </si>
  <si>
    <t>Table III</t>
  </si>
  <si>
    <t>Image Encoding and Fusion of Multi-Modal Data Enhance Depression Diagnosis in Parkinson's Disease Patients</t>
  </si>
  <si>
    <t>Li, Zhao, Zhang, Li, Fu, Lian, Shan</t>
  </si>
  <si>
    <t>10.1109/TAFFC.2024.3418415</t>
  </si>
  <si>
    <t>Unverifiable</t>
  </si>
  <si>
    <t>Audio + Motion</t>
  </si>
  <si>
    <t>A+U</t>
  </si>
  <si>
    <t>T+U+V</t>
  </si>
  <si>
    <t>A sample of patients with Parkinsons disease</t>
  </si>
  <si>
    <t>MDD-Net: Multimodal Depression Detection through Mutual Transformer</t>
  </si>
  <si>
    <t>M. R. Haque and M. M. Islam and S. M. Taslim Uddin Raju and H. Altaheri and L. Nassar and F. Karray</t>
  </si>
  <si>
    <t>arXiv:2508.08093</t>
  </si>
  <si>
    <t>No</t>
  </si>
  <si>
    <t>Multimodal Interpretable Depression Analysis Using Visual, Physiological, Audio and Textual Data</t>
  </si>
  <si>
    <t>P. Kumar, S. Misra, Z. Shao, B. Zhu, B. Raman, X. Li</t>
  </si>
  <si>
    <t>10.1109/WACV61041.2025.00518</t>
  </si>
  <si>
    <t xml:space="preserve">rPPG + Audio + Text </t>
  </si>
  <si>
    <t>A+P+T</t>
  </si>
  <si>
    <t>A+P+T+V</t>
  </si>
  <si>
    <t>Yes</t>
  </si>
  <si>
    <t>Multimodal depression recognition and analysis: Facial expression and body posture changes via emotional stimuli</t>
  </si>
  <si>
    <t>Y. Liu, X. Li, M. Wang, J. Bi, S. Lin, Q. Wang, Y. Yu, J. Ye, Y. Zheng</t>
  </si>
  <si>
    <t>10.1016/j.jad.2025.03.155</t>
  </si>
  <si>
    <t>DSM diagnosis</t>
  </si>
  <si>
    <t>Body</t>
  </si>
  <si>
    <t>B+V</t>
  </si>
  <si>
    <t>Table 5 (F), Table 6 (B), Table 8 (F+B)</t>
  </si>
  <si>
    <t>Best performing condition (ResNet(F) + ResNet(B)) selected for multimodal study, and ResNet condition selected for single model study. Mean across positive, neutral and negative segments.</t>
  </si>
  <si>
    <t>Predicting depression by using a novel deep learning model and video-audio-text multimodal data</t>
  </si>
  <si>
    <t>Y. Li, X. Yang, M. Zhao, J. Wang, Y. Yao, W. Qian, S. Qi</t>
  </si>
  <si>
    <t>10.3389/fpsyt.2025.1602650</t>
  </si>
  <si>
    <t xml:space="preserve">Audio + Text </t>
  </si>
  <si>
    <t>Table 2</t>
  </si>
  <si>
    <t>STCM-Mamba: Multimodal Spatio-Temporal Cross-Modal Mamba for Depression Detection</t>
  </si>
  <si>
    <t>B. Zhou, M.-A. Fiedler, A. Al-Hamadi</t>
  </si>
  <si>
    <t>10.1109/ACCESS.2025.3627778</t>
  </si>
  <si>
    <t>Table 3</t>
  </si>
  <si>
    <t>Self-Esteem Assessment Based on Self-Introduction: A Multimodal Approach to Personality Computing</t>
  </si>
  <si>
    <t>X. Zang, J. Yang</t>
  </si>
  <si>
    <t>10.1177/10731911251403907</t>
  </si>
  <si>
    <t>Self-esteem</t>
  </si>
  <si>
    <t>Rosenberg SES</t>
  </si>
  <si>
    <t>Table 1</t>
  </si>
  <si>
    <t>Extracted for the "SVM" best-performing condition</t>
  </si>
  <si>
    <t>A Novel Audio-Visual Information Fusion System for Mental Disorders Detection</t>
  </si>
  <si>
    <t>Y. Li, S. Li, S.M. Naqvi</t>
  </si>
  <si>
    <t>arXiv:2409.02243</t>
  </si>
  <si>
    <t>Table V</t>
  </si>
  <si>
    <t>A multimodal cross-transformer-based model to predict mild cognitive impairment using speech, language and vision</t>
  </si>
  <si>
    <t>F. Far Poor, H.H. Dodge, M.H. Mahoor</t>
  </si>
  <si>
    <t>10.1016/j.compbiomed.2024.109199</t>
  </si>
  <si>
    <t>Mild Cognitive Impairment</t>
  </si>
  <si>
    <t>Clinical diagnosis</t>
  </si>
  <si>
    <t>Table 2, 3</t>
  </si>
  <si>
    <t>We report averages over their four themes</t>
  </si>
  <si>
    <t>DPD (DePression Detection) Net: a deep neural network for multimodal depression detection</t>
  </si>
  <si>
    <t>M. He, E.M. Bakker, M.S. Lew</t>
  </si>
  <si>
    <t>10.1007/s13755-024-00311-9</t>
  </si>
  <si>
    <t>Digital detection of Alzheimer's disease using smiles and conversations with a chatbot</t>
  </si>
  <si>
    <t>H. Takeshige-Amano, G. Oyama, M. Ogawa, et al.</t>
  </si>
  <si>
    <t>10.1038/s41598-024-77220-0</t>
  </si>
  <si>
    <t>Alzheimers</t>
  </si>
  <si>
    <t>Results reported on LightGBM</t>
  </si>
  <si>
    <t>Diagnosis Framework for Probable Alzheimer's Disease and Mild Cognitive Impairment Based on Multi-Dimensional Emotion Features</t>
  </si>
  <si>
    <t>C. Zhang, X. Lei, W. Ma, J. Long, S. Long, X. Chen, J. Luo, Q. Tao</t>
  </si>
  <si>
    <t>10.3233/JAD-230703</t>
  </si>
  <si>
    <t>electrodermal activity + Self-Assessment Manikin</t>
  </si>
  <si>
    <t>P+SAM</t>
  </si>
  <si>
    <t>P+SAM+V</t>
  </si>
  <si>
    <t>AD vs HC extracted. We denote EDA as a psychological (p) measure</t>
  </si>
  <si>
    <t>Measurement of neuropsychiatric symptoms in the older adults with mild cognitive impairment based on speech and facial expressions: a cross-sectional observational study</t>
  </si>
  <si>
    <t>Y. Zhou, X. Yao, W. Han, Y. Li, J. Xue, Z. Li</t>
  </si>
  <si>
    <t>10.1080/13607863.2023.2280913</t>
  </si>
  <si>
    <t>Table S11 (Supplementary)</t>
  </si>
  <si>
    <t>MALE</t>
  </si>
  <si>
    <t>FEMALE</t>
  </si>
  <si>
    <t>Anxiety</t>
  </si>
  <si>
    <t>Multi-modal Human Behaviour Graph Representation Learning for Automatic Depression Assessment</t>
  </si>
  <si>
    <t>H. Shen, S. Song, H. Gunes</t>
  </si>
  <si>
    <t>Multimodal Sensing for Depression Risk Detection: Integrating Audio, Video, and Text Data</t>
  </si>
  <si>
    <t>Z. Zhang, S. Zhang, D. Ni, Z. Wei, K. Yang, S. Jin, G. Huang, Z. Liang, L. Zhang, L. Li, H. Ding, Z. Zhang, J. Wang</t>
  </si>
  <si>
    <t>10.3390/s24123714</t>
  </si>
  <si>
    <t>Table 6</t>
  </si>
  <si>
    <t>Multimodal Depression Recognition via Mutual Information Maximization Joint With Multi-Task Learning</t>
  </si>
  <si>
    <t>Y. Liu, Y. Liu, X. Ma, R. Wang, Q. Yang, Y. Mo, S. A. Alqahtani, M. Chen</t>
  </si>
  <si>
    <t>10.1109/TBME.2025.3582806</t>
  </si>
  <si>
    <t>PHQ-9</t>
  </si>
  <si>
    <t>Extracted F1-avg</t>
  </si>
  <si>
    <t>Parallel Multiscale Bridge Fusion Network for Audio-Visual Automatic Depression Assessment</t>
  </si>
  <si>
    <t>Hu, Liu, Wang, Tang, Yang, An</t>
  </si>
  <si>
    <t>10.1109/TCSS.2024.3416029</t>
  </si>
  <si>
    <t>Table IIII</t>
  </si>
  <si>
    <t>TSFFM: Depression detection based on latent association of facial and body expressions</t>
  </si>
  <si>
    <t>Li, Yi, Lu, Wang, Zheng, Han, Wang</t>
  </si>
  <si>
    <t>10.1016/j.compbiomed.2023.107805</t>
  </si>
  <si>
    <t>Table 7</t>
  </si>
  <si>
    <t>Bimodal face+body; negative stimuli condition; ResNet18 backbone</t>
  </si>
  <si>
    <t>Deep Multi-Modal Network Based Automated Depression Severity Estimation</t>
  </si>
  <si>
    <t>Uddin, Joolee, Sohn</t>
  </si>
  <si>
    <t>10.1109/TAFFC.2022.3179478</t>
  </si>
  <si>
    <t>Automated Video Analysis of Audio-Visual Approaches to Predict and Detect Mild Cognitive Impairment and Dementia in Older Adults</t>
  </si>
  <si>
    <t>Chu, Wang, Liang, Chou, Hsu, Wang, Liao, Chu, Lin</t>
  </si>
  <si>
    <t>10.3233/JAD-220999</t>
  </si>
  <si>
    <t>Dementia</t>
  </si>
  <si>
    <t>Results reported are for the whole sample, including patients with depression/anxiety</t>
  </si>
  <si>
    <t>End-to-end multimodal system for depression detection from online recordings</t>
  </si>
  <si>
    <t>Kowalewski, Stroinski, Kwarciak, Laptiev, Hemmerling</t>
  </si>
  <si>
    <t>Artificial Intelligent System for Automatic Depression Level Analysis Through Visual and Vocal Expressions</t>
  </si>
  <si>
    <t>Jan, Asim; Meng, Hongying; Gaus, Yona; Zhang, Fan</t>
  </si>
  <si>
    <t>0.1109/TCDS.2017.2721552</t>
  </si>
  <si>
    <t>Table III, Table VI</t>
  </si>
  <si>
    <t>Audio unimodal performance not available in main table VI, so unimodal audio extracted for best performing MFCC_short_PLS ablation in table III</t>
  </si>
  <si>
    <t>Multimodal Spatiotemporal Representation for Automatic Depression Level Detection</t>
  </si>
  <si>
    <t>Niu, M.; Tao, J.; Liu, B.; Huang, J.; Lian, Z.</t>
  </si>
  <si>
    <t>10.1109/TAFFC.2020.3031345</t>
  </si>
  <si>
    <t>Table 8</t>
  </si>
  <si>
    <t>Table 9</t>
  </si>
  <si>
    <t>Semi-Structural Interview-Based Chinese Multimodal Depression Corpus Towards Automatic Preliminary Screening of Depressive Disorders</t>
  </si>
  <si>
    <t>Zou, B.; Han, J.; Wang, Y.; Liu, R.; Zhao, S.; Feng, L.; Lyu, X.; Ma, H.</t>
  </si>
  <si>
    <t>10.1109/TAFFC.2022.3181210</t>
  </si>
  <si>
    <t>We report results from the MulT condition</t>
  </si>
  <si>
    <t>A Model of Normality Inspired Deep Learning Framework for Depression Relapse Prediction Using Audiovisual Data</t>
  </si>
  <si>
    <t>Othmani, A.; Zeghina, A.-O.; Muzammel, M.</t>
  </si>
  <si>
    <t>10.1016/j.cmpb.2022.107132</t>
  </si>
  <si>
    <t>Table 10</t>
  </si>
  <si>
    <t>Authors dont report unimodal performance for the face, but only for audio; the F1-Score is the avg column authors show in table 10</t>
  </si>
  <si>
    <t>Authors dont report unimodal performance for the face, but only for audio</t>
  </si>
  <si>
    <t>A Multi-modal Feature Layer Fusion Model for Assessment of Depression Based on Attention Mechanisms</t>
  </si>
  <si>
    <t>Wang, C.; Liu, D.; Tao, K.; Cui, X.; Wang, G.; Zhao, Y.; Liu, Z.</t>
  </si>
  <si>
    <t>10.1109/CISP-BMEI56279.2022.9979894</t>
  </si>
  <si>
    <t>Tables II, III &amp; IV</t>
  </si>
  <si>
    <t>Acoustic and Facial Features From Clinical Interviews for Machine Learning-Based Psychiatric Diagnosis: Algorithm Development</t>
  </si>
  <si>
    <t>Birnbaum, M.L.; Abrami, A.; Heisig, S.; Ali, A.; Arenare, E.; Agurto, C.; Lu, N.; Kane, J.M.; Cecchi, G.</t>
  </si>
  <si>
    <t>10.2196/24699</t>
  </si>
  <si>
    <t>Schizophrenia</t>
  </si>
  <si>
    <t>Bipolar disorder</t>
  </si>
  <si>
    <t>Using Convolutional Neural Networks for the Assessment Research of Mental Health</t>
  </si>
  <si>
    <t>Liu Y.</t>
  </si>
  <si>
    <t>10.1155/2022/1636855</t>
  </si>
  <si>
    <t>Synthesis</t>
  </si>
  <si>
    <t>A+G</t>
  </si>
  <si>
    <t>A+G+V</t>
  </si>
  <si>
    <t xml:space="preserve"> Section 4.5.1; Fig.5 for face unimodal, Fig 10. for G+A baseline; Fig 11 for the trimodal config</t>
  </si>
  <si>
    <t>Integrating Deep and Shallow Models for Multi-Modal Depression Analysis—Hybrid Architectures</t>
  </si>
  <si>
    <t>Yang L., Jiang D., Sahli H.</t>
  </si>
  <si>
    <t>10.1109/TAFFC.2018.2870398</t>
  </si>
  <si>
    <t>On dev set</t>
  </si>
  <si>
    <t>Multimodal affect analysis of psychodynamic play therapy</t>
  </si>
  <si>
    <t>Halfon, Doyran, Türkmen, Aydın Oktay, Salah</t>
  </si>
  <si>
    <t>10.1080/10503307.2020.1839141</t>
  </si>
  <si>
    <t>CPTI Anger</t>
  </si>
  <si>
    <t>Text</t>
  </si>
  <si>
    <t>Facial expression</t>
  </si>
  <si>
    <t>Correlation</t>
  </si>
  <si>
    <t>T</t>
  </si>
  <si>
    <t>T+V</t>
  </si>
  <si>
    <t>Extracted for ELM</t>
  </si>
  <si>
    <t>CPTI Anxiety</t>
  </si>
  <si>
    <t xml:space="preserve">Facial expression </t>
  </si>
  <si>
    <t>CPTI Pleasure</t>
  </si>
  <si>
    <t>CPTI Sadness</t>
  </si>
  <si>
    <t>Automatic Detection of Self-Adaptors for Psychological Distress</t>
  </si>
  <si>
    <t>Lin, Weizhe; Orton, Indigo; Liu, Mingyu; Mahmoud, Marwa</t>
  </si>
  <si>
    <t>10.1109/FG47880.2020.00032</t>
  </si>
  <si>
    <t>Audio+Gaze</t>
  </si>
  <si>
    <t>Fig. 4</t>
  </si>
  <si>
    <t>Very challenging to read their Fig. 4. The multimodal ablation with gaze is included even though no completely clean ablation for exists without; this is because their gaze estimates originate from OpenFace, and gaze shows the by far lowest performance contribution; any covariate influence on gaze on our systematic review can then be considered neglible</t>
  </si>
  <si>
    <t>Towards the automatic detection of social biomarkers in autism spectrum disorder: introducing the simulated interaction task (SIT)</t>
  </si>
  <si>
    <t>Drimalla, Scheffer, Landwehr, Baskow, Roepke, Behnia, Dziobek</t>
  </si>
  <si>
    <t>10.1038/s41746-020-0227-5</t>
  </si>
  <si>
    <t>Autism</t>
  </si>
  <si>
    <t>AUC</t>
  </si>
  <si>
    <t>Results section (text)</t>
  </si>
  <si>
    <t xml:space="preserve">Difficult study to extract from as results are not synthesized in a table. </t>
  </si>
  <si>
    <t>Depression Assessment by Fusing High and Low Level Features from Audio, Video, and Text</t>
  </si>
  <si>
    <t>Pampouchidou, Simantiraki, Fazlollahi, Pediaditis, Manousos, Roniotis, Giannakakis, Meriaudeau, Simos, Yang, Marias, Tsiknakis</t>
  </si>
  <si>
    <t>10.1145/2988257.2988266</t>
  </si>
  <si>
    <t>Results are the means across the depressed and not-depressed groups for the test set; multimodal config is 7: Decision Fusion {Vis OR AudGen}; audio baseline config is 3 AudGen</t>
  </si>
  <si>
    <t>Multi-level spatiotemporal graph attention fusion for multimodal depression detection</t>
  </si>
  <si>
    <t>Yang, Zheng</t>
  </si>
  <si>
    <t>10.1016/j.bspc.2025.108123</t>
  </si>
  <si>
    <t>Harnessing multimodal emotion features in depression detection across gender: Integrating large language model, acoustic fusion and facial expression recognition</t>
  </si>
  <si>
    <t>Jin, Chen, Liu, Chen, Zhou, Li, Bu, Wang</t>
  </si>
  <si>
    <t>10.1016/j.jad.2026.121207</t>
  </si>
  <si>
    <t>AudiFace: Multimodal Deep Learning for Depression Screening</t>
  </si>
  <si>
    <t>Flores, Tlachac, Toto, Rundensteiner</t>
  </si>
  <si>
    <t>Values are means of F1 across 15 DAIC-WoZ question subsets. For the unimodal face value, it is the mean of the AU and landmark column in Table 3</t>
  </si>
  <si>
    <t>Towards Remote Differential Diagnosis of Mental and Neurological Disorders using Automatically Extracted Speech and Facial Features</t>
  </si>
  <si>
    <t>Richter, Neumann, Ramanarayanan</t>
  </si>
  <si>
    <t>Disease and personality information enhanced depression detection based on the TransGCL framework</t>
  </si>
  <si>
    <t>Zhao, Zhang, Sun, Zhou, Li, Lian, Tian, Wang, Fu</t>
  </si>
  <si>
    <t>10.1016/j.neucom.2025.131160</t>
  </si>
  <si>
    <t>HAMD</t>
  </si>
  <si>
    <t>A Multimodal Artificial Intelligence Model for Depression Severity Detection Based on Audio and Video Signals</t>
  </si>
  <si>
    <t>Zhang, Zhang, Zhang, Zhao</t>
  </si>
  <si>
    <t>10.3390/electronics14071464</t>
  </si>
  <si>
    <t>We choose only to extract the results for the accuracy metric given the limitations of the regression metrics the authors themselves acknowledge in their discussion</t>
  </si>
  <si>
    <t>A multimodal Framework for exploring behavioural cues for automatic Stress Detection</t>
  </si>
  <si>
    <t>Valerio, Mahmoud</t>
  </si>
  <si>
    <t>10.1145/3716553.3750797</t>
  </si>
  <si>
    <t>Stress</t>
  </si>
  <si>
    <t>Pysiological + Motion</t>
  </si>
  <si>
    <t>B+P</t>
  </si>
  <si>
    <t>B+P+V</t>
  </si>
  <si>
    <t>Figure 2 (Venn diagram)</t>
  </si>
  <si>
    <t>Multimodal Approach for Assessing Neuromotor Coordination in Schizophrenia Using Convolutional Neural Networks</t>
  </si>
  <si>
    <t>Siriwardena, Espy-Wilson, Kitchen, Kelly</t>
  </si>
  <si>
    <t>10.1145/3462244.3479967</t>
  </si>
  <si>
    <t>Table 2, Table 3</t>
  </si>
  <si>
    <t>Towards Stable Cross-Domain Depression Recognition under Missing Modalities</t>
  </si>
  <si>
    <t>Chen, Tan, Lu, Xu, Wang, Zeng, Hu</t>
  </si>
  <si>
    <t>10.48550/arXiv.2512.06447</t>
  </si>
  <si>
    <t>Disentangled-Multimodal Privileged Knowledge Distillation for Depression Recognition with Incomplete Multimodal Data</t>
  </si>
  <si>
    <t>Pan, Jiang, Jiang, Liu</t>
  </si>
  <si>
    <t>10.1145/3664647.3681227</t>
  </si>
  <si>
    <t>While technically trimodal, the ablation we need to support trimodal results (A+T) is not shown in their table 5</t>
  </si>
  <si>
    <t>A Multimodal Fusion Model with Multi-level Attention Mechanism for Depression Detection</t>
  </si>
  <si>
    <t>Fang, Peng, Liang, Hung, Liu</t>
  </si>
  <si>
    <t>10.2139/ssrn.4172609</t>
  </si>
  <si>
    <t>D-vlog: Multimodal Vlog Dataset for Depression Detection</t>
  </si>
  <si>
    <t>Yoon, Kang, Kim, Han</t>
  </si>
  <si>
    <t>10.1609/aaai.v36i11.21483</t>
  </si>
  <si>
    <t>Multi-level Attention Network using Text, Audio and Video for Depression Prediction</t>
  </si>
  <si>
    <t>Ray, A.; Kumar, S.; Reddy, R.; Mukherjee, P.; Garg, R.</t>
  </si>
  <si>
    <t>10.1145/3347320.3357697</t>
  </si>
  <si>
    <t>Multimodal and Multiresolution Depression Detection from Speech and Facial Landmark Features</t>
  </si>
  <si>
    <t>Nasir, M.; Jati, A.; Shivakumar, P.G.; Chakravarthula, S.N.; Georgiou, P.</t>
  </si>
  <si>
    <t>10.1145/2988257.2988261</t>
  </si>
  <si>
    <t>Transformer-based multimodal feature enhancement networks for multimodal depression detection integrating video, audio and remote photoplethysmograph signals</t>
  </si>
  <si>
    <t>Fan, H.; Zhang, X.; Xu, Y.; Fang, J.; Zhang, S.; Zhao, X.; Yu, J.</t>
  </si>
  <si>
    <t>10.1016/j.inffus.2023.102161</t>
  </si>
  <si>
    <t xml:space="preserve">Audio + rPPG </t>
  </si>
  <si>
    <t>A+rPPG</t>
  </si>
  <si>
    <t>A+V+rPPG</t>
  </si>
  <si>
    <t>FPT-Former: A Flexible Parallel Transformer of Recognizing Depression by Using Audiovisual Expert-Knowledge-Based Multimodal Measures</t>
  </si>
  <si>
    <t>LI, Yang, Zhao, Wang, Yao, Qian, Qi</t>
  </si>
  <si>
    <t>10.1109/TAFFC.2024.3406488</t>
  </si>
  <si>
    <t>Figure 5</t>
  </si>
  <si>
    <t>Depression Scale Dictionary Decomposition Framework for Multimodal Automatic Depression Level Prediction</t>
  </si>
  <si>
    <t>Niu, Wang, Gong, Liu, Tao, Schuller</t>
  </si>
  <si>
    <t>10.1109/TCSVT.2025.3533556</t>
  </si>
  <si>
    <t>Results extracted from best performing dictionary split in each modality</t>
  </si>
  <si>
    <t>MPCF: Multi-stage progressive cross-modal fusion for depression severity prediction using audio-visual modalities</t>
  </si>
  <si>
    <t>Li, Wang, Guo, Yang, Bu, Bao, Luo</t>
  </si>
  <si>
    <t>10.1016/j.knosys.2026.115423</t>
  </si>
  <si>
    <t>Tagle 5</t>
  </si>
  <si>
    <t>A novel audio-visual model with real-time gradient modulation for mental disorder detection</t>
  </si>
  <si>
    <t>Li, Li, Nair, Naqvi</t>
  </si>
  <si>
    <t>10.1016/j.bspc.2026.110164</t>
  </si>
  <si>
    <t>ADHD</t>
  </si>
  <si>
    <t>AVEC 2018 Workshop and Challenge: Bipolar Disorder and Cross-Cultural Affect Recognition</t>
  </si>
  <si>
    <t>Ringeval, Schuller, Valstar, Cowie, Kaya, Schmitt, Amiriparian, Cummins, Lalanne, Michaud, Cifci, Gülec, Salah, Pantic</t>
  </si>
  <si>
    <t>10.1145/3266302.3266316</t>
  </si>
  <si>
    <t>Turkish Audio-Visual Bipolar Disorder corpus</t>
  </si>
  <si>
    <t>Test set partition extracted</t>
  </si>
  <si>
    <t>Multimodal Depression Detection Using Task-oriented Transformer-based Embedding</t>
  </si>
  <si>
    <t>Rasipuram, Bhat, Maitra, Shaw, Saha</t>
  </si>
  <si>
    <t>10.1109/ICTS4eHealth57392.2022</t>
  </si>
  <si>
    <t>Text + Audio</t>
  </si>
  <si>
    <t>Depression Recognition based on Dynamic Facial and Vocal Expression Features using Partial Least Square Regression</t>
  </si>
  <si>
    <t>Meng, Huang, Wang, Yang, Al-Shuraifi, Wang</t>
  </si>
  <si>
    <t>10.1145/2512530.2512532</t>
  </si>
  <si>
    <t>Results extracted from dev set and all ablations were only available for that dataset</t>
  </si>
  <si>
    <t>Depression Scale Recognition from Audio, Visual and Text Analysis</t>
  </si>
  <si>
    <t>Dham, Sharma, Dhall</t>
  </si>
  <si>
    <t>arXiv:1709.05865</t>
  </si>
  <si>
    <t>Table VIII</t>
  </si>
  <si>
    <t>This was not an easy study to extract data from as 1) authors supply limited ablations, 2) the dev set is the only one with all ablations we need, 3) their test set did not have all ablations. For the multimodal configuration we could only extract their 4-way results using Audio+Text+Head+Fisher, which we denote as A+T+V as the Head + Fisher features is a bundle of facial movements and landmarks and head pose</t>
  </si>
  <si>
    <t>Fusing Affective Dimensions and Audio-Visual Features from Segmented Video for Depression Recognition: INAOE-BUAP's Participation at AVEC'14 Challenge</t>
  </si>
  <si>
    <t>Pérez Espinosa, Escalante, Villaseñor-Pineda, Montes-y-Gómez, Pinto-Avedaño, Reyes-Meza</t>
  </si>
  <si>
    <t>10.1145/2661806.2661815</t>
  </si>
  <si>
    <t>Results are means over the North Wind and Free Form condition; the single modal video condition is reported for the best performing Video Voice</t>
  </si>
  <si>
    <t>Fusion of Audio-visual Features using Hierarchical Classifier Systems for the Recognition of Affective States and the State of Depression</t>
  </si>
  <si>
    <t>Kächele, Glodek, Zharkov, Meudt, Schwenker</t>
  </si>
  <si>
    <t>10.5220/0004828606710676</t>
  </si>
  <si>
    <t>Multimodal Detection of Depression in Clinical Interviews</t>
  </si>
  <si>
    <t>Dibeklioğlu, Hammal, Yang, Cohn</t>
  </si>
  <si>
    <t>10.1145/2818346.2820776</t>
  </si>
  <si>
    <t>Table 2, Table 4</t>
  </si>
  <si>
    <t>I intentionally do not report the trimodal ablation in Table 4 of this study, as they couple head+face which I consider not a clean ablation of a facial movement dynamics</t>
  </si>
  <si>
    <t>Dynamic multimodal measurement of depression severity using deep autoencoding</t>
  </si>
  <si>
    <t>Dibeklioğlu, Hammal, Cohn</t>
  </si>
  <si>
    <t>10.1109/JBHI.2017.2676878</t>
  </si>
  <si>
    <t>Audio + Head</t>
  </si>
  <si>
    <t>A+H</t>
  </si>
  <si>
    <t>A+H+V</t>
  </si>
  <si>
    <t>Table IV, VI</t>
  </si>
  <si>
    <t xml:space="preserve">Two important notes: 1) The study utilizes the same data as "Multimodal Detection of Depression in Clinical Interviews", which is the conference sumission of the present entry. I believe that the two contributions are distinct enough to qualify for separate entries, as they built different models; the authors explicitly frame their conference-results as the baseline they set out to beat in the present record. 2) I further found it defensible to couple head with face in this ablation, even though one could just have extracted the audio-only baseline and compared against that. However, in line with previous extractions, the trimodal ablation is already preferred. Further, authors argue in detail for how they sought to decouple face and head dynamics in the ZFace algorithm, which further makes the present choice valid. </t>
  </si>
  <si>
    <t>Hique: Hierarchical question embedding network for multimodal depression detection</t>
  </si>
  <si>
    <t>Jung, Juho and Kang, Chaewon and Yoon, Jeewoo and Kim, Seungbae and Han, Jinyoung</t>
  </si>
  <si>
    <t>10.1145/3627673.3679797</t>
  </si>
  <si>
    <t>Fig.4</t>
  </si>
  <si>
    <t>Critically, results here had to be READ from Fig.4 bar-chart. That is a notable precision concern.</t>
  </si>
  <si>
    <t>Reading Between the Frames: Multi-Modal Depression Detection in Videos from Non-Verbal Cues</t>
  </si>
  <si>
    <t>Gimeno-Gómez, Bucur, Cosma, Martínez-Hinarejos, Rosso</t>
  </si>
  <si>
    <t>arXiv:2401.02746</t>
  </si>
  <si>
    <t>Taking All the Factors We Need: A Multimodal Depression Classification With Uncertainty Approximation</t>
  </si>
  <si>
    <t>Ahmed, Yousuf, Monowar, Hamid, Alassafi</t>
  </si>
  <si>
    <t>10.1109/ACCESS.2023.3315243</t>
  </si>
  <si>
    <t>N/A</t>
  </si>
  <si>
    <t>yes</t>
  </si>
  <si>
    <t>We intentionally retain the ablation including what the authors report to be eye scan data, as those features are also derived from the facial landmarks</t>
  </si>
  <si>
    <t>Multimodal Fusion for Dementia Detection using Voice and Facial Features</t>
  </si>
  <si>
    <t>Chen, Chu</t>
  </si>
  <si>
    <t>10.1109/ISCAS56072.2025.11043557</t>
  </si>
  <si>
    <t>NC vs MCI</t>
  </si>
  <si>
    <t>NC vs AD</t>
  </si>
  <si>
    <t>MCI vs AD</t>
  </si>
  <si>
    <t>MMSE</t>
  </si>
  <si>
    <t>CASI</t>
  </si>
  <si>
    <t>Tracking depression severity from audio and video based on speech articulatory coordination</t>
  </si>
  <si>
    <t>Williamson, James R.; Young, Diana; Nierenberg, Andrew A.; Niemi, James B.; Helfer, Brian S.; Quatieri, Thomas F.</t>
  </si>
  <si>
    <t>10.1016/j.csl.2018.08.004</t>
  </si>
  <si>
    <t>Facial action units (Proprietary)</t>
  </si>
  <si>
    <t>Harnessing multimodal approaches for depression detection using large language models and facial expressions</t>
  </si>
  <si>
    <t>Sadeghi, Misha and Richer, Robert and Egger, Bernhard and Schindler-Gmelch, Lena and Rupp, Lydia Helene and Rahimi, Farnaz and Berking, Matthias and Eskofier, Bjoern M</t>
  </si>
  <si>
    <t>10.1038/s44184-024-00112-8</t>
  </si>
  <si>
    <t>Table 2,3,4</t>
  </si>
  <si>
    <t>Results always extracted for best performing ablation from authors on test set</t>
  </si>
  <si>
    <t>SIMMA: Multimodal Automatic Depression Detection via Spatio-Temporal Ensemble and Cross-Modal Alignment</t>
  </si>
  <si>
    <t>Wang Y, Lin Z, Teng Y, Cheng Y, Jiang H, Yang Y</t>
  </si>
  <si>
    <t>Table VI</t>
  </si>
  <si>
    <t>Real-life Depression, and Affect Recognition Workshop and Challenge</t>
  </si>
  <si>
    <t>Ringeval F, Schuller B, Valstar M, Gratch J, Cowie R, Scherer S, Mozgai S, Cummins N, Schmitt M, Pantic M</t>
  </si>
  <si>
    <t>10.1145/3133944.3133953</t>
  </si>
  <si>
    <t>Hybrid Depression Classification and Estimation from Audio Video and Text Information</t>
  </si>
  <si>
    <t>Yang L, Sahli H, Xia X, Pei E, Oveneke MC, Jiang D</t>
  </si>
  <si>
    <t>10.1145/3133944.3133950</t>
  </si>
  <si>
    <t>Grand means (DNN Fusion, DCNN-DNN)</t>
  </si>
  <si>
    <t>Multi-modal Depression Estimation based on Sub-attentional Fusion</t>
  </si>
  <si>
    <t>Wei PC, Peng K, Roitberg A, Yang K, Zhang J, Stiefelhagen R</t>
  </si>
  <si>
    <t>arXiv:2207.06180</t>
  </si>
  <si>
    <t>Multimodal extracted from Atten ConvBiLSTM</t>
  </si>
  <si>
    <t xml:space="preserve">YMRS </t>
  </si>
  <si>
    <t>Self-declared</t>
  </si>
  <si>
    <t xml:space="preserve">Self-declared </t>
  </si>
  <si>
    <t>DIVA</t>
  </si>
  <si>
    <t>ADOS/ADIR</t>
  </si>
  <si>
    <t xml:space="preserve">CDR </t>
  </si>
  <si>
    <t>GAD-7</t>
  </si>
  <si>
    <t>CPTI</t>
  </si>
  <si>
    <t xml:space="preserve">PHQ-9 </t>
  </si>
  <si>
    <t xml:space="preserve">NIA-AA criteria </t>
  </si>
  <si>
    <t xml:space="preserve">Average </t>
  </si>
  <si>
    <t>Recall</t>
  </si>
  <si>
    <t>End-to-end multimodal clinical depression recognition using deep neural networks: A comparative analysis</t>
  </si>
  <si>
    <t>Muzammel, M; Salam, H; Othmani, A</t>
  </si>
  <si>
    <t>10.1016/j.cmpb.2021.106433</t>
  </si>
  <si>
    <t>LSTM configuration extracted (MFCC / MFCC-AU)</t>
  </si>
  <si>
    <t>Diagnosis of Depression by Behavioural Signals: A Multimodal Approach</t>
  </si>
  <si>
    <t>Cummins, N; Joshi, J; Dhall, A; Sethu, V; Goecke, R; Epps, J.</t>
  </si>
  <si>
    <t>10.1145/2512530.2512535</t>
  </si>
  <si>
    <t>Table 12</t>
  </si>
  <si>
    <t>KL-means (single) extracted for audio</t>
  </si>
  <si>
    <t>Lin, C; Matsuda, Y; Suwa, H; Yasumoto, K</t>
  </si>
  <si>
    <t>10.1109/SMARTCOMP61445.2024.00080</t>
  </si>
  <si>
    <t>Depression and Anxiety Mood Scale</t>
  </si>
  <si>
    <t>Audio + Heartrate</t>
  </si>
  <si>
    <t>V+A+H</t>
  </si>
  <si>
    <t>Detecting Distress Changes Using Multimodal Data During Interaction with A Smart Speaker</t>
  </si>
  <si>
    <t>A+U+V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</si>
</sst>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1"/>
      <color theme="0"/>
      <name val="Calibri"/>
      <family val="2"/>
      <charset val="1"/>
    </font>
    <font>
      <b/>
      <sz val="10"/>
      <color rgb="FFFFFFFF"/>
      <name val="Calibri"/>
      <family val="2"/>
      <charset val="1"/>
    </font>
    <font>
      <sz val="10"/>
      <name val="Calibri"/>
      <family val="2"/>
      <charset val="1"/>
    </font>
    <font>
      <sz val="11"/>
      <color theme="1"/>
      <name val="Calibri"/>
      <family val="2"/>
      <charset val="1"/>
    </font>
  </fonts>
  <fills count="25">
    <fill>
      <patternFill patternType="none"/>
    </fill>
    <fill>
      <patternFill patternType="gray125"/>
    </fill>
    <fill>
      <patternFill patternType="solid">
        <fgColor theme="6" tint="0.79989013336588644"/>
        <bgColor rgb="FFFDEADA"/>
      </patternFill>
    </fill>
    <fill>
      <patternFill patternType="solid">
        <fgColor theme="7" tint="0.79989013336588644"/>
        <bgColor rgb="FFD9E2F3"/>
      </patternFill>
    </fill>
    <fill>
      <patternFill patternType="solid">
        <fgColor theme="8" tint="0.79989013336588644"/>
        <bgColor rgb="FFD9E2F3"/>
      </patternFill>
    </fill>
    <fill>
      <patternFill patternType="solid">
        <fgColor theme="9" tint="0.79989013336588644"/>
        <bgColor rgb="FFEBF1DE"/>
      </patternFill>
    </fill>
    <fill>
      <patternFill patternType="solid">
        <fgColor theme="4" tint="0.59987182226020086"/>
        <bgColor rgb="FFB4C6E7"/>
      </patternFill>
    </fill>
    <fill>
      <patternFill patternType="solid">
        <fgColor theme="6" tint="0.59987182226020086"/>
        <bgColor rgb="FFE6E0EC"/>
      </patternFill>
    </fill>
    <fill>
      <patternFill patternType="solid">
        <fgColor theme="7" tint="0.59987182226020086"/>
        <bgColor rgb="FFB4C6E7"/>
      </patternFill>
    </fill>
    <fill>
      <patternFill patternType="solid">
        <fgColor theme="8" tint="0.59987182226020086"/>
        <bgColor rgb="FFB9CDE5"/>
      </patternFill>
    </fill>
    <fill>
      <patternFill patternType="solid">
        <fgColor theme="9" tint="0.59987182226020086"/>
        <bgColor rgb="FFFDEADA"/>
      </patternFill>
    </fill>
    <fill>
      <patternFill patternType="solid">
        <fgColor theme="4" tint="0.39988402966399123"/>
        <bgColor rgb="FFB2B2B2"/>
      </patternFill>
    </fill>
    <fill>
      <patternFill patternType="solid">
        <fgColor theme="6" tint="0.39988402966399123"/>
        <bgColor rgb="FFD7E4BD"/>
      </patternFill>
    </fill>
    <fill>
      <patternFill patternType="solid">
        <fgColor theme="7" tint="0.39988402966399123"/>
        <bgColor rgb="FFB2B2B2"/>
      </patternFill>
    </fill>
    <fill>
      <patternFill patternType="solid">
        <fgColor theme="8" tint="0.39988402966399123"/>
        <bgColor rgb="FFB4C6E7"/>
      </patternFill>
    </fill>
    <fill>
      <patternFill patternType="solid">
        <fgColor theme="9" tint="0.39988402966399123"/>
        <bgColor rgb="FFFCD5B5"/>
      </patternFill>
    </fill>
    <fill>
      <patternFill patternType="solid">
        <fgColor theme="4"/>
        <bgColor rgb="FF4472C4"/>
      </patternFill>
    </fill>
    <fill>
      <patternFill patternType="solid">
        <fgColor theme="6"/>
        <bgColor rgb="FFB2B2B2"/>
      </patternFill>
    </fill>
    <fill>
      <patternFill patternType="solid">
        <fgColor theme="7"/>
        <bgColor rgb="FF4F81BD"/>
      </patternFill>
    </fill>
    <fill>
      <patternFill patternType="solid">
        <fgColor theme="8"/>
        <bgColor rgb="FF4F81BD"/>
      </patternFill>
    </fill>
    <fill>
      <patternFill patternType="solid">
        <fgColor theme="9"/>
        <bgColor rgb="FFFAC090"/>
      </patternFill>
    </fill>
    <fill>
      <patternFill patternType="solid">
        <fgColor rgb="FFFFFFCC"/>
        <bgColor rgb="FFEBF1DE"/>
      </patternFill>
    </fill>
    <fill>
      <patternFill patternType="solid">
        <fgColor rgb="FF4472C4"/>
        <bgColor rgb="FF4F81BD"/>
      </patternFill>
    </fill>
    <fill>
      <patternFill patternType="solid">
        <fgColor rgb="FFFFFFFF"/>
        <bgColor rgb="FFFFFFCC"/>
      </patternFill>
    </fill>
    <fill>
      <patternFill patternType="solid">
        <fgColor rgb="FFD9E2F3"/>
        <bgColor rgb="FFE6E0EC"/>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rgb="FFB4C6E7"/>
      </left>
      <right style="thin">
        <color rgb="FFB4C6E7"/>
      </right>
      <top style="thin">
        <color rgb="FFB4C6E7"/>
      </top>
      <bottom style="thin">
        <color rgb="FFB4C6E7"/>
      </bottom>
      <diagonal/>
    </border>
  </borders>
  <cellStyleXfs count="21">
    <xf numFmtId="0" fontId="0" fillId="0" borderId="0"/>
    <xf numFmtId="0" fontId="4" fillId="2" borderId="0"/>
    <xf numFmtId="0" fontId="4" fillId="3" borderId="0"/>
    <xf numFmtId="0" fontId="4" fillId="4" borderId="0"/>
    <xf numFmtId="0" fontId="4" fillId="5" borderId="0"/>
    <xf numFmtId="0" fontId="4" fillId="6" borderId="0"/>
    <xf numFmtId="0" fontId="4" fillId="7" borderId="0"/>
    <xf numFmtId="0" fontId="4" fillId="8" borderId="0"/>
    <xf numFmtId="0" fontId="4" fillId="9" borderId="0"/>
    <xf numFmtId="0" fontId="4" fillId="10" borderId="0"/>
    <xf numFmtId="0" fontId="4" fillId="11" borderId="0"/>
    <xf numFmtId="0" fontId="4" fillId="12" borderId="0"/>
    <xf numFmtId="0" fontId="4" fillId="13" borderId="0"/>
    <xf numFmtId="0" fontId="4" fillId="14" borderId="0"/>
    <xf numFmtId="0" fontId="4" fillId="15" borderId="0"/>
    <xf numFmtId="0" fontId="1" fillId="16" borderId="0"/>
    <xf numFmtId="0" fontId="1" fillId="17" borderId="0"/>
    <xf numFmtId="0" fontId="1" fillId="18" borderId="0"/>
    <xf numFmtId="0" fontId="1" fillId="19" borderId="0"/>
    <xf numFmtId="0" fontId="1" fillId="20" borderId="0"/>
    <xf numFmtId="0" fontId="4" fillId="21" borderId="1"/>
  </cellStyleXfs>
  <cellXfs count="7">
    <xf numFmtId="0" fontId="0" fillId="0" borderId="0" xfId="0"/>
    <xf numFmtId="0" fontId="2" fillId="22" borderId="2" xfId="0" applyFont="1" applyFill="1" applyBorder="1" applyAlignment="1">
      <alignment vertical="center" wrapText="1"/>
    </xf>
    <xf numFmtId="0" fontId="3" fillId="23" borderId="2" xfId="0" applyFont="1" applyFill="1" applyBorder="1" applyAlignment="1">
      <alignment vertical="center" wrapText="1"/>
    </xf>
    <xf numFmtId="0" fontId="3" fillId="24" borderId="2" xfId="0" applyFont="1" applyFill="1" applyBorder="1" applyAlignment="1">
      <alignment vertical="center" wrapText="1"/>
    </xf>
    <xf numFmtId="0" fontId="3" fillId="0" borderId="2" xfId="0" applyFont="1" applyBorder="1" applyAlignment="1">
      <alignment vertical="center" wrapText="1"/>
    </xf>
    <xf numFmtId="2" fontId="3" fillId="24" borderId="2" xfId="0" applyNumberFormat="1" applyFont="1" applyFill="1" applyBorder="1" applyAlignment="1">
      <alignment vertical="center" wrapText="1"/>
    </xf>
    <xf numFmtId="2" fontId="3" fillId="23" borderId="2" xfId="0" applyNumberFormat="1" applyFont="1" applyFill="1" applyBorder="1" applyAlignment="1">
      <alignment vertical="center" wrapText="1"/>
    </xf>
  </cellXfs>
  <cellStyles count="21">
    <cellStyle name="20% - Accent3 2" xfId="1" xr:uid="{00000000-0005-0000-0000-000006000000}"/>
    <cellStyle name="20% - Accent4 2" xfId="2" xr:uid="{00000000-0005-0000-0000-000007000000}"/>
    <cellStyle name="20% - Accent5 2" xfId="3" xr:uid="{00000000-0005-0000-0000-000008000000}"/>
    <cellStyle name="20% - Accent6 2" xfId="4" xr:uid="{00000000-0005-0000-0000-000009000000}"/>
    <cellStyle name="40% - Accent1 2" xfId="5" xr:uid="{00000000-0005-0000-0000-00000A000000}"/>
    <cellStyle name="40% - Accent3 2" xfId="6" xr:uid="{00000000-0005-0000-0000-00000B000000}"/>
    <cellStyle name="40% - Accent4 2" xfId="7" xr:uid="{00000000-0005-0000-0000-00000C000000}"/>
    <cellStyle name="40% - Accent5 2" xfId="8" xr:uid="{00000000-0005-0000-0000-00000D000000}"/>
    <cellStyle name="40% - Accent6 2" xfId="9" xr:uid="{00000000-0005-0000-0000-00000E000000}"/>
    <cellStyle name="60% - Accent1 2" xfId="10" xr:uid="{00000000-0005-0000-0000-00000F000000}"/>
    <cellStyle name="60% - Accent3 2" xfId="11" xr:uid="{00000000-0005-0000-0000-000010000000}"/>
    <cellStyle name="60% - Accent4 2" xfId="12" xr:uid="{00000000-0005-0000-0000-000011000000}"/>
    <cellStyle name="60% - Accent5 2" xfId="13" xr:uid="{00000000-0005-0000-0000-000012000000}"/>
    <cellStyle name="60% - Accent6 2" xfId="14" xr:uid="{00000000-0005-0000-0000-000013000000}"/>
    <cellStyle name="Accent1 2" xfId="15" xr:uid="{00000000-0005-0000-0000-000014000000}"/>
    <cellStyle name="Accent3 2" xfId="16" xr:uid="{00000000-0005-0000-0000-000015000000}"/>
    <cellStyle name="Accent4 2" xfId="17" xr:uid="{00000000-0005-0000-0000-000016000000}"/>
    <cellStyle name="Accent5 2" xfId="18" xr:uid="{00000000-0005-0000-0000-000017000000}"/>
    <cellStyle name="Accent6 2" xfId="19" xr:uid="{00000000-0005-0000-0000-000018000000}"/>
    <cellStyle name="Normal" xfId="0" builtinId="0"/>
    <cellStyle name="Note 2" xfId="20" xr:uid="{00000000-0005-0000-0000-000019000000}"/>
  </cellStyles>
  <dxfs count="0"/>
  <tableStyles count="0" defaultTableStyle="TableStyleMedium2" defaultPivotStyle="PivotStyleLight16"/>
  <colors>
    <indexedColors>
      <rgbColor rgb="FF000000"/>
      <rgbColor rgb="FFFFFFFF"/>
      <rgbColor rgb="FFFF0000"/>
      <rgbColor rgb="FF00FF00"/>
      <rgbColor rgb="FF0000FF"/>
      <rgbColor rgb="FFD7E4BD"/>
      <rgbColor rgb="FFFF00FF"/>
      <rgbColor rgb="FF00FFFF"/>
      <rgbColor rgb="FF800000"/>
      <rgbColor rgb="FF008000"/>
      <rgbColor rgb="FF000080"/>
      <rgbColor rgb="FF808000"/>
      <rgbColor rgb="FF800080"/>
      <rgbColor rgb="FF008080"/>
      <rgbColor rgb="FFCCC1DA"/>
      <rgbColor rgb="FF4F81BD"/>
      <rgbColor rgb="FF95B3D7"/>
      <rgbColor rgb="FF993366"/>
      <rgbColor rgb="FFFFFFCC"/>
      <rgbColor rgb="FFDBEEF4"/>
      <rgbColor rgb="FF660066"/>
      <rgbColor rgb="FFB4C6E7"/>
      <rgbColor rgb="FF0066CC"/>
      <rgbColor rgb="FFB9CDE5"/>
      <rgbColor rgb="FF000080"/>
      <rgbColor rgb="FFFF00FF"/>
      <rgbColor rgb="FFE6E0EC"/>
      <rgbColor rgb="FF00FFFF"/>
      <rgbColor rgb="FF800080"/>
      <rgbColor rgb="FF800000"/>
      <rgbColor rgb="FF008080"/>
      <rgbColor rgb="FF0000FF"/>
      <rgbColor rgb="FF00CCFF"/>
      <rgbColor rgb="FFD9E2F3"/>
      <rgbColor rgb="FFEBF1DE"/>
      <rgbColor rgb="FFFDEADA"/>
      <rgbColor rgb="FF93CDDD"/>
      <rgbColor rgb="FFFCD5B5"/>
      <rgbColor rgb="FFB3A2C7"/>
      <rgbColor rgb="FFFAC090"/>
      <rgbColor rgb="FF4472C4"/>
      <rgbColor rgb="FF4BACC6"/>
      <rgbColor rgb="FF9BBB59"/>
      <rgbColor rgb="FFC3D69B"/>
      <rgbColor rgb="FFF79646"/>
      <rgbColor rgb="FFFF6600"/>
      <rgbColor rgb="FF8064A2"/>
      <rgbColor rgb="FFB2B2B2"/>
      <rgbColor rgb="FF003366"/>
      <rgbColor rgb="FFB7DEE8"/>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i-org.kb-itu.idm.oclc.org/10.1109/SMARTCOMP61445.2024.00080" TargetMode="External"/><Relationship Id="rId1" Type="http://schemas.openxmlformats.org/officeDocument/2006/relationships/hyperlink" Target="https://doi-org.kb-itu.idm.oclc.org/10.1109/SMARTCOMP61445.2024.000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1"/>
  <sheetViews>
    <sheetView tabSelected="1" zoomScaleNormal="100" workbookViewId="0">
      <pane xSplit="1" ySplit="1" topLeftCell="F174" activePane="bottomRight" state="frozen"/>
      <selection pane="topRight" activeCell="B1" sqref="B1"/>
      <selection pane="bottomLeft" activeCell="A183" sqref="A183"/>
      <selection pane="bottomRight" activeCell="G181" sqref="G181"/>
    </sheetView>
  </sheetViews>
  <sheetFormatPr defaultColWidth="8.6328125" defaultRowHeight="14.5" x14ac:dyDescent="0.35"/>
  <cols>
    <col min="1" max="1" width="54.36328125" customWidth="1"/>
    <col min="2" max="2" width="31.453125" customWidth="1"/>
    <col min="3" max="3" width="6.453125" customWidth="1"/>
    <col min="4" max="4" width="28.08984375" customWidth="1"/>
    <col min="5" max="5" width="19.26953125" customWidth="1"/>
    <col min="6" max="7" width="29.26953125" customWidth="1"/>
    <col min="8" max="8" width="35" customWidth="1"/>
    <col min="9" max="10" width="10" customWidth="1"/>
    <col min="11" max="11" width="25.7265625" customWidth="1"/>
    <col min="12" max="14" width="16" customWidth="1"/>
    <col min="15" max="15" width="12" customWidth="1"/>
    <col min="16" max="16" width="24.26953125" customWidth="1"/>
    <col min="17" max="17" width="50" customWidth="1"/>
  </cols>
  <sheetData>
    <row r="1" spans="1:18" ht="25.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25.5" customHeight="1" x14ac:dyDescent="0.35">
      <c r="A2" s="2" t="s">
        <v>18</v>
      </c>
      <c r="B2" s="2" t="s">
        <v>19</v>
      </c>
      <c r="C2" s="2">
        <v>2026</v>
      </c>
      <c r="D2" s="2" t="s">
        <v>20</v>
      </c>
      <c r="E2" s="2" t="s">
        <v>21</v>
      </c>
      <c r="F2" s="2" t="s">
        <v>22</v>
      </c>
      <c r="G2" s="2" t="s">
        <v>23</v>
      </c>
      <c r="H2" s="2" t="s">
        <v>24</v>
      </c>
      <c r="I2" s="2" t="s">
        <v>25</v>
      </c>
      <c r="J2" s="2" t="s">
        <v>26</v>
      </c>
      <c r="K2" s="2" t="s">
        <v>27</v>
      </c>
      <c r="L2" s="2">
        <v>5.49</v>
      </c>
      <c r="M2" s="2">
        <v>4.88</v>
      </c>
      <c r="N2" s="2" t="s">
        <v>28</v>
      </c>
      <c r="O2" s="2">
        <v>4.04</v>
      </c>
      <c r="P2" s="2" t="s">
        <v>29</v>
      </c>
      <c r="Q2" s="2" t="s">
        <v>30</v>
      </c>
      <c r="R2" s="2" t="s">
        <v>31</v>
      </c>
    </row>
    <row r="3" spans="1:18" ht="25.5" customHeight="1" x14ac:dyDescent="0.35">
      <c r="A3" s="3" t="s">
        <v>18</v>
      </c>
      <c r="B3" s="3" t="s">
        <v>19</v>
      </c>
      <c r="C3" s="3">
        <v>2026</v>
      </c>
      <c r="D3" s="3" t="s">
        <v>20</v>
      </c>
      <c r="E3" s="3" t="s">
        <v>21</v>
      </c>
      <c r="F3" s="3" t="s">
        <v>22</v>
      </c>
      <c r="G3" s="3" t="s">
        <v>23</v>
      </c>
      <c r="H3" s="3" t="s">
        <v>24</v>
      </c>
      <c r="I3" s="3" t="s">
        <v>25</v>
      </c>
      <c r="J3" s="3" t="s">
        <v>32</v>
      </c>
      <c r="K3" s="3" t="s">
        <v>27</v>
      </c>
      <c r="L3" s="3">
        <v>6.49</v>
      </c>
      <c r="M3" s="3">
        <v>6.16</v>
      </c>
      <c r="N3" s="3" t="s">
        <v>28</v>
      </c>
      <c r="O3" s="3">
        <v>4.93</v>
      </c>
      <c r="P3" s="3" t="s">
        <v>29</v>
      </c>
      <c r="Q3" s="3" t="s">
        <v>30</v>
      </c>
      <c r="R3" s="3" t="s">
        <v>31</v>
      </c>
    </row>
    <row r="4" spans="1:18" ht="25.5" customHeight="1" x14ac:dyDescent="0.35">
      <c r="A4" s="2" t="s">
        <v>18</v>
      </c>
      <c r="B4" s="2" t="s">
        <v>19</v>
      </c>
      <c r="C4" s="2">
        <v>2026</v>
      </c>
      <c r="D4" s="2" t="s">
        <v>20</v>
      </c>
      <c r="E4" s="2" t="s">
        <v>33</v>
      </c>
      <c r="F4" s="2" t="s">
        <v>22</v>
      </c>
      <c r="G4" s="2" t="s">
        <v>23</v>
      </c>
      <c r="H4" s="2" t="s">
        <v>24</v>
      </c>
      <c r="I4" s="2" t="s">
        <v>25</v>
      </c>
      <c r="J4" s="2" t="s">
        <v>26</v>
      </c>
      <c r="K4" s="2" t="s">
        <v>27</v>
      </c>
      <c r="L4" s="2">
        <v>4.9400000000000004</v>
      </c>
      <c r="M4" s="2">
        <v>4.9000000000000004</v>
      </c>
      <c r="N4" s="2" t="s">
        <v>28</v>
      </c>
      <c r="O4" s="2">
        <v>3.99</v>
      </c>
      <c r="P4" s="2" t="s">
        <v>29</v>
      </c>
      <c r="Q4" s="2" t="s">
        <v>30</v>
      </c>
      <c r="R4" s="2" t="s">
        <v>31</v>
      </c>
    </row>
    <row r="5" spans="1:18" ht="25.5" customHeight="1" x14ac:dyDescent="0.35">
      <c r="A5" s="3" t="s">
        <v>18</v>
      </c>
      <c r="B5" s="3" t="s">
        <v>19</v>
      </c>
      <c r="C5" s="3">
        <v>2026</v>
      </c>
      <c r="D5" s="3" t="s">
        <v>20</v>
      </c>
      <c r="E5" s="3" t="s">
        <v>33</v>
      </c>
      <c r="F5" s="3" t="s">
        <v>22</v>
      </c>
      <c r="G5" s="3" t="s">
        <v>23</v>
      </c>
      <c r="H5" s="3" t="s">
        <v>24</v>
      </c>
      <c r="I5" s="3" t="s">
        <v>25</v>
      </c>
      <c r="J5" s="3" t="s">
        <v>32</v>
      </c>
      <c r="K5" s="3" t="s">
        <v>27</v>
      </c>
      <c r="L5" s="3">
        <v>6.33</v>
      </c>
      <c r="M5" s="3">
        <v>5.78</v>
      </c>
      <c r="N5" s="3" t="s">
        <v>28</v>
      </c>
      <c r="O5" s="3">
        <v>4.67</v>
      </c>
      <c r="P5" s="3" t="s">
        <v>29</v>
      </c>
      <c r="Q5" s="3" t="s">
        <v>30</v>
      </c>
      <c r="R5" s="3" t="s">
        <v>31</v>
      </c>
    </row>
    <row r="6" spans="1:18" ht="66" customHeight="1" x14ac:dyDescent="0.35">
      <c r="A6" s="2" t="s">
        <v>34</v>
      </c>
      <c r="B6" s="2" t="s">
        <v>35</v>
      </c>
      <c r="C6" s="2">
        <v>2026</v>
      </c>
      <c r="D6" s="2" t="s">
        <v>36</v>
      </c>
      <c r="E6" s="2" t="s">
        <v>21</v>
      </c>
      <c r="F6" s="2" t="s">
        <v>22</v>
      </c>
      <c r="G6" s="2" t="s">
        <v>23</v>
      </c>
      <c r="H6" s="2" t="s">
        <v>24</v>
      </c>
      <c r="I6" s="2" t="s">
        <v>25</v>
      </c>
      <c r="J6" s="2" t="s">
        <v>37</v>
      </c>
      <c r="K6" s="2" t="s">
        <v>27</v>
      </c>
      <c r="L6" s="2">
        <v>0.66</v>
      </c>
      <c r="M6" s="2">
        <v>0.68</v>
      </c>
      <c r="N6" s="2" t="s">
        <v>28</v>
      </c>
      <c r="O6" s="2">
        <v>0.85</v>
      </c>
      <c r="P6" s="2" t="s">
        <v>38</v>
      </c>
      <c r="Q6" s="2" t="s">
        <v>30</v>
      </c>
      <c r="R6" s="2"/>
    </row>
    <row r="7" spans="1:18" ht="64.5" customHeight="1" x14ac:dyDescent="0.35">
      <c r="A7" s="3" t="s">
        <v>34</v>
      </c>
      <c r="B7" s="3" t="s">
        <v>35</v>
      </c>
      <c r="C7" s="3">
        <v>2026</v>
      </c>
      <c r="D7" s="3" t="s">
        <v>36</v>
      </c>
      <c r="E7" s="3" t="s">
        <v>21</v>
      </c>
      <c r="F7" s="3" t="s">
        <v>22</v>
      </c>
      <c r="G7" s="3" t="s">
        <v>23</v>
      </c>
      <c r="H7" s="3" t="s">
        <v>24</v>
      </c>
      <c r="I7" s="3" t="s">
        <v>25</v>
      </c>
      <c r="J7" s="3" t="s">
        <v>39</v>
      </c>
      <c r="K7" s="3" t="s">
        <v>27</v>
      </c>
      <c r="L7" s="3">
        <v>65.709999999999994</v>
      </c>
      <c r="M7" s="3">
        <v>68.569999999999993</v>
      </c>
      <c r="N7" s="3" t="s">
        <v>28</v>
      </c>
      <c r="O7" s="3">
        <v>85.71</v>
      </c>
      <c r="P7" s="3" t="s">
        <v>38</v>
      </c>
      <c r="Q7" s="3" t="s">
        <v>30</v>
      </c>
      <c r="R7" s="3"/>
    </row>
    <row r="8" spans="1:18" ht="40.5" customHeight="1" x14ac:dyDescent="0.35">
      <c r="A8" s="2" t="s">
        <v>40</v>
      </c>
      <c r="B8" s="2" t="s">
        <v>41</v>
      </c>
      <c r="C8" s="2">
        <v>2026</v>
      </c>
      <c r="D8" s="2" t="s">
        <v>42</v>
      </c>
      <c r="E8" s="2" t="s">
        <v>21</v>
      </c>
      <c r="F8" s="2" t="s">
        <v>22</v>
      </c>
      <c r="G8" s="2" t="s">
        <v>23</v>
      </c>
      <c r="H8" s="2" t="s">
        <v>43</v>
      </c>
      <c r="I8" s="2" t="s">
        <v>25</v>
      </c>
      <c r="J8" s="2" t="s">
        <v>26</v>
      </c>
      <c r="K8" s="2" t="s">
        <v>44</v>
      </c>
      <c r="L8" s="2">
        <v>3.27</v>
      </c>
      <c r="M8" s="2">
        <v>3.95</v>
      </c>
      <c r="N8" s="2" t="s">
        <v>45</v>
      </c>
      <c r="O8" s="2">
        <v>3.13</v>
      </c>
      <c r="P8" s="2" t="s">
        <v>46</v>
      </c>
      <c r="Q8" s="2" t="s">
        <v>47</v>
      </c>
      <c r="R8" s="2"/>
    </row>
    <row r="9" spans="1:18" ht="48" customHeight="1" x14ac:dyDescent="0.35">
      <c r="A9" s="3" t="s">
        <v>40</v>
      </c>
      <c r="B9" s="3" t="s">
        <v>41</v>
      </c>
      <c r="C9" s="3">
        <v>2026</v>
      </c>
      <c r="D9" s="3" t="s">
        <v>42</v>
      </c>
      <c r="E9" s="3" t="s">
        <v>21</v>
      </c>
      <c r="F9" s="3" t="s">
        <v>22</v>
      </c>
      <c r="G9" s="3" t="s">
        <v>23</v>
      </c>
      <c r="H9" s="3" t="s">
        <v>43</v>
      </c>
      <c r="I9" s="3" t="s">
        <v>25</v>
      </c>
      <c r="J9" s="3" t="s">
        <v>32</v>
      </c>
      <c r="K9" s="3" t="s">
        <v>44</v>
      </c>
      <c r="L9" s="3">
        <v>4.4400000000000004</v>
      </c>
      <c r="M9" s="3">
        <v>5.24</v>
      </c>
      <c r="N9" s="3" t="s">
        <v>45</v>
      </c>
      <c r="O9" s="3">
        <v>3.59</v>
      </c>
      <c r="P9" s="3" t="s">
        <v>46</v>
      </c>
      <c r="Q9" s="3" t="s">
        <v>47</v>
      </c>
      <c r="R9" s="3"/>
    </row>
    <row r="10" spans="1:18" ht="55.5" customHeight="1" x14ac:dyDescent="0.35">
      <c r="A10" s="2" t="s">
        <v>48</v>
      </c>
      <c r="B10" s="2" t="s">
        <v>49</v>
      </c>
      <c r="C10" s="2">
        <v>2026</v>
      </c>
      <c r="D10" s="2" t="s">
        <v>50</v>
      </c>
      <c r="E10" s="2" t="s">
        <v>51</v>
      </c>
      <c r="F10" s="2" t="s">
        <v>22</v>
      </c>
      <c r="G10" s="2" t="s">
        <v>52</v>
      </c>
      <c r="H10" s="2" t="s">
        <v>53</v>
      </c>
      <c r="I10" s="2" t="s">
        <v>54</v>
      </c>
      <c r="J10" s="2" t="s">
        <v>26</v>
      </c>
      <c r="K10" s="2" t="s">
        <v>27</v>
      </c>
      <c r="L10" s="2">
        <v>7.19</v>
      </c>
      <c r="M10" s="2">
        <v>6.03</v>
      </c>
      <c r="N10" s="2" t="s">
        <v>28</v>
      </c>
      <c r="O10" s="2">
        <v>5.91</v>
      </c>
      <c r="P10" s="2" t="s">
        <v>55</v>
      </c>
      <c r="Q10" s="2" t="s">
        <v>30</v>
      </c>
      <c r="R10" s="2"/>
    </row>
    <row r="11" spans="1:18" ht="25.5" customHeight="1" x14ac:dyDescent="0.35">
      <c r="A11" s="3" t="s">
        <v>48</v>
      </c>
      <c r="B11" s="3" t="s">
        <v>49</v>
      </c>
      <c r="C11" s="3">
        <v>2026</v>
      </c>
      <c r="D11" s="3" t="s">
        <v>50</v>
      </c>
      <c r="E11" s="3" t="s">
        <v>51</v>
      </c>
      <c r="F11" s="3" t="s">
        <v>22</v>
      </c>
      <c r="G11" s="3" t="s">
        <v>52</v>
      </c>
      <c r="H11" s="3" t="s">
        <v>24</v>
      </c>
      <c r="I11" s="3" t="s">
        <v>54</v>
      </c>
      <c r="J11" s="3" t="s">
        <v>32</v>
      </c>
      <c r="K11" s="3" t="s">
        <v>27</v>
      </c>
      <c r="L11" s="3">
        <v>8.42</v>
      </c>
      <c r="M11" s="3">
        <v>7.42</v>
      </c>
      <c r="N11" s="3" t="s">
        <v>28</v>
      </c>
      <c r="O11" s="3">
        <v>7.21</v>
      </c>
      <c r="P11" s="3" t="s">
        <v>55</v>
      </c>
      <c r="Q11" s="3" t="s">
        <v>30</v>
      </c>
      <c r="R11" s="3"/>
    </row>
    <row r="12" spans="1:18" ht="25.5" customHeight="1" x14ac:dyDescent="0.35">
      <c r="A12" s="3" t="s">
        <v>48</v>
      </c>
      <c r="B12" s="3" t="s">
        <v>49</v>
      </c>
      <c r="C12" s="3">
        <v>2026</v>
      </c>
      <c r="D12" s="3" t="s">
        <v>50</v>
      </c>
      <c r="E12" s="3" t="s">
        <v>56</v>
      </c>
      <c r="F12" s="3" t="s">
        <v>22</v>
      </c>
      <c r="G12" s="3" t="s">
        <v>57</v>
      </c>
      <c r="H12" s="3" t="s">
        <v>53</v>
      </c>
      <c r="I12" s="3" t="s">
        <v>58</v>
      </c>
      <c r="J12" s="3" t="s">
        <v>37</v>
      </c>
      <c r="K12" s="3" t="s">
        <v>27</v>
      </c>
      <c r="L12" s="3">
        <v>73.12</v>
      </c>
      <c r="M12" s="3">
        <v>76.569999999999993</v>
      </c>
      <c r="N12" s="3" t="s">
        <v>28</v>
      </c>
      <c r="O12" s="3">
        <v>76.77</v>
      </c>
      <c r="P12" s="3" t="s">
        <v>59</v>
      </c>
      <c r="Q12" s="3" t="s">
        <v>30</v>
      </c>
      <c r="R12" s="3"/>
    </row>
    <row r="13" spans="1:18" ht="99" customHeight="1" x14ac:dyDescent="0.35">
      <c r="A13" s="3" t="s">
        <v>60</v>
      </c>
      <c r="B13" s="3" t="s">
        <v>61</v>
      </c>
      <c r="C13" s="3">
        <v>2025</v>
      </c>
      <c r="D13" s="3" t="s">
        <v>62</v>
      </c>
      <c r="E13" s="3" t="s">
        <v>56</v>
      </c>
      <c r="F13" s="3" t="s">
        <v>22</v>
      </c>
      <c r="G13" s="3" t="s">
        <v>104</v>
      </c>
      <c r="H13" s="3" t="s">
        <v>43</v>
      </c>
      <c r="I13" s="3" t="s">
        <v>58</v>
      </c>
      <c r="J13" s="3" t="s">
        <v>37</v>
      </c>
      <c r="K13" s="3" t="s">
        <v>44</v>
      </c>
      <c r="L13" s="3">
        <v>0.99099999999999999</v>
      </c>
      <c r="M13" s="3">
        <v>0.80500000000000005</v>
      </c>
      <c r="N13" s="3" t="s">
        <v>45</v>
      </c>
      <c r="O13" s="3">
        <v>0.99</v>
      </c>
      <c r="P13" s="3" t="s">
        <v>63</v>
      </c>
      <c r="Q13" s="3" t="s">
        <v>47</v>
      </c>
      <c r="R13" s="3"/>
    </row>
    <row r="14" spans="1:18" ht="66.75" customHeight="1" x14ac:dyDescent="0.35">
      <c r="A14" s="2" t="s">
        <v>64</v>
      </c>
      <c r="B14" s="2" t="s">
        <v>65</v>
      </c>
      <c r="C14" s="2">
        <v>2025</v>
      </c>
      <c r="D14" s="2" t="s">
        <v>66</v>
      </c>
      <c r="E14" s="2" t="s">
        <v>67</v>
      </c>
      <c r="F14" s="2" t="s">
        <v>22</v>
      </c>
      <c r="G14" s="2" t="s">
        <v>415</v>
      </c>
      <c r="H14" s="2" t="s">
        <v>24</v>
      </c>
      <c r="I14" s="2" t="s">
        <v>68</v>
      </c>
      <c r="J14" s="2" t="s">
        <v>424</v>
      </c>
      <c r="K14" s="2" t="s">
        <v>27</v>
      </c>
      <c r="L14" s="2">
        <v>71.959999999999994</v>
      </c>
      <c r="M14" s="2">
        <v>72.31</v>
      </c>
      <c r="N14" s="2" t="s">
        <v>28</v>
      </c>
      <c r="O14" s="2">
        <v>75.12</v>
      </c>
      <c r="P14" s="2" t="s">
        <v>69</v>
      </c>
      <c r="Q14" s="2" t="s">
        <v>30</v>
      </c>
      <c r="R14" s="2"/>
    </row>
    <row r="15" spans="1:18" ht="101.25" customHeight="1" x14ac:dyDescent="0.35">
      <c r="A15" s="3" t="s">
        <v>64</v>
      </c>
      <c r="B15" s="3" t="s">
        <v>65</v>
      </c>
      <c r="C15" s="3">
        <v>2025</v>
      </c>
      <c r="D15" s="3" t="s">
        <v>66</v>
      </c>
      <c r="E15" s="3" t="s">
        <v>70</v>
      </c>
      <c r="F15" s="3" t="s">
        <v>22</v>
      </c>
      <c r="G15" s="3" t="s">
        <v>415</v>
      </c>
      <c r="H15" s="3" t="s">
        <v>24</v>
      </c>
      <c r="I15" s="3" t="s">
        <v>68</v>
      </c>
      <c r="J15" s="3" t="s">
        <v>424</v>
      </c>
      <c r="K15" s="3" t="s">
        <v>27</v>
      </c>
      <c r="L15" s="3">
        <v>62.35</v>
      </c>
      <c r="M15" s="3">
        <v>69.42</v>
      </c>
      <c r="N15" s="3" t="s">
        <v>28</v>
      </c>
      <c r="O15" s="3">
        <v>73.02</v>
      </c>
      <c r="P15" s="3" t="s">
        <v>69</v>
      </c>
      <c r="Q15" s="3" t="s">
        <v>30</v>
      </c>
      <c r="R15" s="3"/>
    </row>
    <row r="16" spans="1:18" ht="42" customHeight="1" x14ac:dyDescent="0.35">
      <c r="A16" s="2" t="s">
        <v>71</v>
      </c>
      <c r="B16" s="2" t="s">
        <v>72</v>
      </c>
      <c r="C16" s="2">
        <v>2025</v>
      </c>
      <c r="D16" s="2" t="s">
        <v>73</v>
      </c>
      <c r="E16" s="2" t="s">
        <v>33</v>
      </c>
      <c r="F16" s="2" t="s">
        <v>22</v>
      </c>
      <c r="G16" s="2" t="s">
        <v>23</v>
      </c>
      <c r="H16" s="2" t="s">
        <v>24</v>
      </c>
      <c r="I16" s="2" t="s">
        <v>25</v>
      </c>
      <c r="J16" s="2" t="s">
        <v>26</v>
      </c>
      <c r="K16" s="2" t="s">
        <v>27</v>
      </c>
      <c r="L16" s="2">
        <v>6.28</v>
      </c>
      <c r="M16" s="2">
        <v>4.45</v>
      </c>
      <c r="N16" s="2" t="s">
        <v>28</v>
      </c>
      <c r="O16" s="2">
        <v>3.51</v>
      </c>
      <c r="P16" s="2" t="s">
        <v>74</v>
      </c>
      <c r="Q16" s="2" t="s">
        <v>30</v>
      </c>
      <c r="R16" s="2" t="s">
        <v>75</v>
      </c>
    </row>
    <row r="17" spans="1:18" ht="68.25" customHeight="1" x14ac:dyDescent="0.35">
      <c r="A17" s="3" t="s">
        <v>71</v>
      </c>
      <c r="B17" s="3" t="s">
        <v>72</v>
      </c>
      <c r="C17" s="3">
        <v>2025</v>
      </c>
      <c r="D17" s="3" t="s">
        <v>73</v>
      </c>
      <c r="E17" s="3" t="s">
        <v>33</v>
      </c>
      <c r="F17" s="3" t="s">
        <v>22</v>
      </c>
      <c r="G17" s="3" t="s">
        <v>23</v>
      </c>
      <c r="H17" s="3" t="s">
        <v>24</v>
      </c>
      <c r="I17" s="3" t="s">
        <v>25</v>
      </c>
      <c r="J17" s="3" t="s">
        <v>32</v>
      </c>
      <c r="K17" s="3" t="s">
        <v>27</v>
      </c>
      <c r="L17" s="3">
        <v>6.67</v>
      </c>
      <c r="M17" s="3">
        <v>5.23</v>
      </c>
      <c r="N17" s="3" t="s">
        <v>28</v>
      </c>
      <c r="O17" s="3">
        <v>6.06</v>
      </c>
      <c r="P17" s="3" t="s">
        <v>74</v>
      </c>
      <c r="Q17" s="3" t="s">
        <v>30</v>
      </c>
      <c r="R17" s="3" t="s">
        <v>75</v>
      </c>
    </row>
    <row r="18" spans="1:18" ht="88.5" customHeight="1" x14ac:dyDescent="0.35">
      <c r="A18" s="2" t="s">
        <v>76</v>
      </c>
      <c r="B18" s="2" t="s">
        <v>77</v>
      </c>
      <c r="C18" s="2">
        <v>2025</v>
      </c>
      <c r="D18" s="2" t="s">
        <v>78</v>
      </c>
      <c r="E18" s="2" t="s">
        <v>79</v>
      </c>
      <c r="F18" s="2" t="s">
        <v>22</v>
      </c>
      <c r="G18" s="2" t="s">
        <v>52</v>
      </c>
      <c r="H18" s="2" t="s">
        <v>24</v>
      </c>
      <c r="I18" s="2" t="s">
        <v>58</v>
      </c>
      <c r="J18" s="2" t="s">
        <v>26</v>
      </c>
      <c r="K18" s="2" t="s">
        <v>27</v>
      </c>
      <c r="L18" s="2">
        <v>6.53</v>
      </c>
      <c r="M18" s="2">
        <v>5.41</v>
      </c>
      <c r="N18" s="2" t="s">
        <v>28</v>
      </c>
      <c r="O18" s="2">
        <v>5.1100000000000003</v>
      </c>
      <c r="P18" s="2" t="s">
        <v>55</v>
      </c>
      <c r="Q18" s="2" t="s">
        <v>30</v>
      </c>
      <c r="R18" s="2"/>
    </row>
    <row r="19" spans="1:18" ht="64.5" customHeight="1" x14ac:dyDescent="0.35">
      <c r="A19" s="3" t="s">
        <v>76</v>
      </c>
      <c r="B19" s="3" t="s">
        <v>77</v>
      </c>
      <c r="C19" s="3">
        <v>2025</v>
      </c>
      <c r="D19" s="3" t="s">
        <v>78</v>
      </c>
      <c r="E19" s="3" t="s">
        <v>79</v>
      </c>
      <c r="F19" s="3" t="s">
        <v>22</v>
      </c>
      <c r="G19" s="3" t="s">
        <v>52</v>
      </c>
      <c r="H19" s="3" t="s">
        <v>24</v>
      </c>
      <c r="I19" s="3" t="s">
        <v>58</v>
      </c>
      <c r="J19" s="3" t="s">
        <v>32</v>
      </c>
      <c r="K19" s="3" t="s">
        <v>27</v>
      </c>
      <c r="L19" s="3">
        <v>8.42</v>
      </c>
      <c r="M19" s="3">
        <v>6.87</v>
      </c>
      <c r="N19" s="3" t="s">
        <v>28</v>
      </c>
      <c r="O19" s="3">
        <v>6.41</v>
      </c>
      <c r="P19" s="3" t="s">
        <v>55</v>
      </c>
      <c r="Q19" s="3" t="s">
        <v>30</v>
      </c>
      <c r="R19" s="3"/>
    </row>
    <row r="20" spans="1:18" ht="82.5" customHeight="1" x14ac:dyDescent="0.35">
      <c r="A20" s="2" t="s">
        <v>76</v>
      </c>
      <c r="B20" s="2" t="s">
        <v>77</v>
      </c>
      <c r="C20" s="2">
        <v>2025</v>
      </c>
      <c r="D20" s="2" t="s">
        <v>78</v>
      </c>
      <c r="E20" s="2" t="s">
        <v>51</v>
      </c>
      <c r="F20" s="2" t="s">
        <v>22</v>
      </c>
      <c r="G20" s="2" t="s">
        <v>52</v>
      </c>
      <c r="H20" s="2" t="s">
        <v>24</v>
      </c>
      <c r="I20" s="2" t="s">
        <v>58</v>
      </c>
      <c r="J20" s="2" t="s">
        <v>26</v>
      </c>
      <c r="K20" s="2" t="s">
        <v>27</v>
      </c>
      <c r="L20" s="2">
        <v>7.26</v>
      </c>
      <c r="M20" s="2">
        <v>5.36</v>
      </c>
      <c r="N20" s="2" t="s">
        <v>28</v>
      </c>
      <c r="O20" s="2">
        <v>5.32</v>
      </c>
      <c r="P20" s="2" t="s">
        <v>59</v>
      </c>
      <c r="Q20" s="2" t="s">
        <v>30</v>
      </c>
      <c r="R20" s="2"/>
    </row>
    <row r="21" spans="1:18" ht="90.75" customHeight="1" x14ac:dyDescent="0.35">
      <c r="A21" s="3" t="s">
        <v>76</v>
      </c>
      <c r="B21" s="3" t="s">
        <v>77</v>
      </c>
      <c r="C21" s="3">
        <v>2025</v>
      </c>
      <c r="D21" s="3" t="s">
        <v>78</v>
      </c>
      <c r="E21" s="3" t="s">
        <v>51</v>
      </c>
      <c r="F21" s="3" t="s">
        <v>22</v>
      </c>
      <c r="G21" s="3" t="s">
        <v>52</v>
      </c>
      <c r="H21" s="3" t="s">
        <v>24</v>
      </c>
      <c r="I21" s="3" t="s">
        <v>58</v>
      </c>
      <c r="J21" s="3" t="s">
        <v>32</v>
      </c>
      <c r="K21" s="3" t="s">
        <v>27</v>
      </c>
      <c r="L21" s="3">
        <v>9.0399999999999991</v>
      </c>
      <c r="M21" s="3">
        <v>7.11</v>
      </c>
      <c r="N21" s="3" t="s">
        <v>28</v>
      </c>
      <c r="O21" s="3">
        <v>7</v>
      </c>
      <c r="P21" s="3" t="s">
        <v>59</v>
      </c>
      <c r="Q21" s="3" t="s">
        <v>30</v>
      </c>
      <c r="R21" s="3"/>
    </row>
    <row r="22" spans="1:18" ht="85.5" customHeight="1" x14ac:dyDescent="0.35">
      <c r="A22" s="2" t="s">
        <v>76</v>
      </c>
      <c r="B22" s="2" t="s">
        <v>77</v>
      </c>
      <c r="C22" s="2">
        <v>2025</v>
      </c>
      <c r="D22" s="2" t="s">
        <v>78</v>
      </c>
      <c r="E22" s="2" t="s">
        <v>33</v>
      </c>
      <c r="F22" s="2" t="s">
        <v>22</v>
      </c>
      <c r="G22" s="2" t="s">
        <v>23</v>
      </c>
      <c r="H22" s="2" t="s">
        <v>24</v>
      </c>
      <c r="I22" s="2" t="s">
        <v>58</v>
      </c>
      <c r="J22" s="2" t="s">
        <v>26</v>
      </c>
      <c r="K22" s="2" t="s">
        <v>27</v>
      </c>
      <c r="L22" s="2">
        <v>5.19</v>
      </c>
      <c r="M22" s="2">
        <v>5.35</v>
      </c>
      <c r="N22" s="2" t="s">
        <v>28</v>
      </c>
      <c r="O22" s="2">
        <v>4.91</v>
      </c>
      <c r="P22" s="2" t="s">
        <v>38</v>
      </c>
      <c r="Q22" s="2" t="s">
        <v>30</v>
      </c>
      <c r="R22" s="2"/>
    </row>
    <row r="23" spans="1:18" ht="96" customHeight="1" x14ac:dyDescent="0.35">
      <c r="A23" s="3" t="s">
        <v>76</v>
      </c>
      <c r="B23" s="3" t="s">
        <v>77</v>
      </c>
      <c r="C23" s="3">
        <v>2025</v>
      </c>
      <c r="D23" s="3" t="s">
        <v>78</v>
      </c>
      <c r="E23" s="3" t="s">
        <v>33</v>
      </c>
      <c r="F23" s="3" t="s">
        <v>22</v>
      </c>
      <c r="G23" s="3" t="s">
        <v>23</v>
      </c>
      <c r="H23" s="3" t="s">
        <v>24</v>
      </c>
      <c r="I23" s="3" t="s">
        <v>58</v>
      </c>
      <c r="J23" s="3" t="s">
        <v>32</v>
      </c>
      <c r="K23" s="3" t="s">
        <v>27</v>
      </c>
      <c r="L23" s="3">
        <v>6.21</v>
      </c>
      <c r="M23" s="3">
        <v>6.39</v>
      </c>
      <c r="N23" s="3" t="s">
        <v>28</v>
      </c>
      <c r="O23" s="3">
        <v>6.21</v>
      </c>
      <c r="P23" s="3" t="s">
        <v>38</v>
      </c>
      <c r="Q23" s="3" t="s">
        <v>30</v>
      </c>
      <c r="R23" s="3"/>
    </row>
    <row r="24" spans="1:18" ht="81" customHeight="1" x14ac:dyDescent="0.35">
      <c r="A24" s="2" t="s">
        <v>76</v>
      </c>
      <c r="B24" s="2" t="s">
        <v>77</v>
      </c>
      <c r="C24" s="2">
        <v>2025</v>
      </c>
      <c r="D24" s="2" t="s">
        <v>78</v>
      </c>
      <c r="E24" s="2" t="s">
        <v>80</v>
      </c>
      <c r="F24" s="2" t="s">
        <v>22</v>
      </c>
      <c r="G24" s="2" t="s">
        <v>52</v>
      </c>
      <c r="H24" s="2" t="s">
        <v>24</v>
      </c>
      <c r="I24" s="2" t="s">
        <v>58</v>
      </c>
      <c r="J24" s="2" t="s">
        <v>26</v>
      </c>
      <c r="K24" s="2" t="s">
        <v>27</v>
      </c>
      <c r="L24" s="2">
        <v>6.54</v>
      </c>
      <c r="M24" s="2">
        <v>6.14</v>
      </c>
      <c r="N24" s="2" t="s">
        <v>28</v>
      </c>
      <c r="O24" s="2">
        <v>6.04</v>
      </c>
      <c r="P24" s="2" t="s">
        <v>81</v>
      </c>
      <c r="Q24" s="2" t="s">
        <v>30</v>
      </c>
      <c r="R24" s="2"/>
    </row>
    <row r="25" spans="1:18" ht="76.5" customHeight="1" x14ac:dyDescent="0.35">
      <c r="A25" s="3" t="s">
        <v>76</v>
      </c>
      <c r="B25" s="3" t="s">
        <v>77</v>
      </c>
      <c r="C25" s="3">
        <v>2025</v>
      </c>
      <c r="D25" s="3" t="s">
        <v>78</v>
      </c>
      <c r="E25" s="3" t="s">
        <v>80</v>
      </c>
      <c r="F25" s="3" t="s">
        <v>22</v>
      </c>
      <c r="G25" s="3" t="s">
        <v>52</v>
      </c>
      <c r="H25" s="3" t="s">
        <v>24</v>
      </c>
      <c r="I25" s="3" t="s">
        <v>58</v>
      </c>
      <c r="J25" s="3" t="s">
        <v>32</v>
      </c>
      <c r="K25" s="3" t="s">
        <v>27</v>
      </c>
      <c r="L25" s="3">
        <v>8.5</v>
      </c>
      <c r="M25" s="3">
        <v>8.41</v>
      </c>
      <c r="N25" s="3" t="s">
        <v>28</v>
      </c>
      <c r="O25" s="3">
        <v>7.98</v>
      </c>
      <c r="P25" s="3" t="s">
        <v>81</v>
      </c>
      <c r="Q25" s="3" t="s">
        <v>30</v>
      </c>
      <c r="R25" s="3"/>
    </row>
    <row r="26" spans="1:18" ht="99.75" customHeight="1" x14ac:dyDescent="0.35">
      <c r="A26" s="2" t="s">
        <v>82</v>
      </c>
      <c r="B26" s="2" t="s">
        <v>83</v>
      </c>
      <c r="C26" s="2">
        <v>2025</v>
      </c>
      <c r="D26" s="2" t="s">
        <v>84</v>
      </c>
      <c r="E26" s="2" t="s">
        <v>56</v>
      </c>
      <c r="F26" s="2" t="s">
        <v>22</v>
      </c>
      <c r="G26" s="2" t="s">
        <v>85</v>
      </c>
      <c r="H26" s="2" t="s">
        <v>86</v>
      </c>
      <c r="I26" s="2" t="s">
        <v>25</v>
      </c>
      <c r="J26" s="2" t="s">
        <v>32</v>
      </c>
      <c r="K26" s="2" t="s">
        <v>87</v>
      </c>
      <c r="L26" s="2">
        <v>0.81930000000000003</v>
      </c>
      <c r="M26" s="2">
        <v>0.81069999999999998</v>
      </c>
      <c r="N26" s="2" t="s">
        <v>441</v>
      </c>
      <c r="O26" s="2">
        <v>0.66139999999999999</v>
      </c>
      <c r="P26" s="2" t="s">
        <v>81</v>
      </c>
      <c r="Q26" s="2" t="s">
        <v>47</v>
      </c>
      <c r="R26" s="2" t="s">
        <v>89</v>
      </c>
    </row>
    <row r="27" spans="1:18" ht="99.75" customHeight="1" x14ac:dyDescent="0.35">
      <c r="A27" s="2" t="s">
        <v>82</v>
      </c>
      <c r="B27" s="2" t="s">
        <v>83</v>
      </c>
      <c r="C27" s="2">
        <v>2025</v>
      </c>
      <c r="D27" s="2" t="s">
        <v>84</v>
      </c>
      <c r="E27" s="2" t="s">
        <v>56</v>
      </c>
      <c r="F27" s="2" t="s">
        <v>22</v>
      </c>
      <c r="G27" s="2" t="s">
        <v>85</v>
      </c>
      <c r="H27" s="2" t="s">
        <v>86</v>
      </c>
      <c r="I27" s="2" t="s">
        <v>25</v>
      </c>
      <c r="J27" s="2" t="s">
        <v>26</v>
      </c>
      <c r="K27" s="2" t="s">
        <v>87</v>
      </c>
      <c r="L27" s="2">
        <v>0.47110000000000002</v>
      </c>
      <c r="M27" s="2">
        <v>0.46200000000000002</v>
      </c>
      <c r="N27" s="2" t="s">
        <v>441</v>
      </c>
      <c r="O27" s="2">
        <v>0.2374</v>
      </c>
      <c r="P27" s="2" t="s">
        <v>81</v>
      </c>
      <c r="Q27" s="2" t="s">
        <v>47</v>
      </c>
      <c r="R27" s="2" t="s">
        <v>89</v>
      </c>
    </row>
    <row r="28" spans="1:18" ht="111.75" customHeight="1" x14ac:dyDescent="0.35">
      <c r="A28" s="3" t="s">
        <v>82</v>
      </c>
      <c r="B28" s="3" t="s">
        <v>83</v>
      </c>
      <c r="C28" s="3">
        <v>2025</v>
      </c>
      <c r="D28" s="3" t="s">
        <v>84</v>
      </c>
      <c r="E28" s="3" t="s">
        <v>56</v>
      </c>
      <c r="F28" s="3" t="s">
        <v>22</v>
      </c>
      <c r="G28" s="3" t="s">
        <v>85</v>
      </c>
      <c r="H28" s="3" t="s">
        <v>86</v>
      </c>
      <c r="I28" s="3" t="s">
        <v>25</v>
      </c>
      <c r="J28" s="3" t="s">
        <v>39</v>
      </c>
      <c r="K28" s="3" t="s">
        <v>87</v>
      </c>
      <c r="L28" s="3">
        <v>0.89839999999999998</v>
      </c>
      <c r="M28" s="3">
        <v>0.88639999999999997</v>
      </c>
      <c r="N28" s="3" t="s">
        <v>88</v>
      </c>
      <c r="O28" s="3">
        <v>0.95079999999999998</v>
      </c>
      <c r="P28" s="3" t="s">
        <v>81</v>
      </c>
      <c r="Q28" s="3" t="s">
        <v>47</v>
      </c>
      <c r="R28" s="3" t="s">
        <v>89</v>
      </c>
    </row>
    <row r="29" spans="1:18" ht="71.25" customHeight="1" x14ac:dyDescent="0.35">
      <c r="A29" s="2" t="s">
        <v>90</v>
      </c>
      <c r="B29" s="2" t="s">
        <v>91</v>
      </c>
      <c r="C29" s="2">
        <v>2025</v>
      </c>
      <c r="D29" s="2" t="s">
        <v>92</v>
      </c>
      <c r="E29" s="2" t="s">
        <v>67</v>
      </c>
      <c r="F29" s="2" t="s">
        <v>22</v>
      </c>
      <c r="G29" s="2" t="s">
        <v>416</v>
      </c>
      <c r="H29" s="2" t="s">
        <v>24</v>
      </c>
      <c r="I29" s="2" t="s">
        <v>68</v>
      </c>
      <c r="J29" s="2" t="s">
        <v>39</v>
      </c>
      <c r="K29" s="2" t="s">
        <v>27</v>
      </c>
      <c r="L29" s="2">
        <v>0.47699999999999998</v>
      </c>
      <c r="M29" s="2">
        <v>0.46039999999999998</v>
      </c>
      <c r="N29" s="2" t="s">
        <v>28</v>
      </c>
      <c r="O29" s="2">
        <v>0.72599999999999998</v>
      </c>
      <c r="P29" s="2" t="s">
        <v>59</v>
      </c>
      <c r="Q29" s="2" t="s">
        <v>93</v>
      </c>
      <c r="R29" s="2"/>
    </row>
    <row r="30" spans="1:18" ht="93" customHeight="1" x14ac:dyDescent="0.35">
      <c r="A30" s="3" t="s">
        <v>90</v>
      </c>
      <c r="B30" s="3" t="s">
        <v>91</v>
      </c>
      <c r="C30" s="3">
        <v>2025</v>
      </c>
      <c r="D30" s="3" t="s">
        <v>92</v>
      </c>
      <c r="E30" s="3" t="s">
        <v>67</v>
      </c>
      <c r="F30" s="3" t="s">
        <v>22</v>
      </c>
      <c r="G30" s="3" t="s">
        <v>416</v>
      </c>
      <c r="H30" s="3" t="s">
        <v>24</v>
      </c>
      <c r="I30" s="3" t="s">
        <v>68</v>
      </c>
      <c r="J30" s="3" t="s">
        <v>37</v>
      </c>
      <c r="K30" s="3" t="s">
        <v>27</v>
      </c>
      <c r="L30" s="3">
        <v>0.41060000000000002</v>
      </c>
      <c r="M30" s="3">
        <v>0.4239</v>
      </c>
      <c r="N30" s="3" t="s">
        <v>28</v>
      </c>
      <c r="O30" s="3">
        <v>0.77070000000000005</v>
      </c>
      <c r="P30" s="3" t="s">
        <v>59</v>
      </c>
      <c r="Q30" s="3" t="s">
        <v>93</v>
      </c>
      <c r="R30" s="3"/>
    </row>
    <row r="31" spans="1:18" ht="78" customHeight="1" x14ac:dyDescent="0.35">
      <c r="A31" s="2" t="s">
        <v>94</v>
      </c>
      <c r="B31" s="2" t="s">
        <v>95</v>
      </c>
      <c r="C31" s="2">
        <v>2025</v>
      </c>
      <c r="D31" s="2" t="s">
        <v>96</v>
      </c>
      <c r="E31" s="2" t="s">
        <v>51</v>
      </c>
      <c r="F31" s="2" t="s">
        <v>22</v>
      </c>
      <c r="G31" s="2" t="s">
        <v>52</v>
      </c>
      <c r="H31" s="2" t="s">
        <v>97</v>
      </c>
      <c r="I31" s="2" t="s">
        <v>58</v>
      </c>
      <c r="J31" s="2" t="s">
        <v>39</v>
      </c>
      <c r="K31" s="2" t="s">
        <v>98</v>
      </c>
      <c r="L31" s="2">
        <v>0.65169999999999995</v>
      </c>
      <c r="M31" s="2">
        <v>0.63639999999999997</v>
      </c>
      <c r="N31" s="2" t="s">
        <v>99</v>
      </c>
      <c r="O31" s="2">
        <v>0.73240000000000005</v>
      </c>
      <c r="P31" s="2" t="s">
        <v>63</v>
      </c>
      <c r="Q31" s="2" t="s">
        <v>100</v>
      </c>
      <c r="R31" s="2"/>
    </row>
    <row r="32" spans="1:18" ht="61.5" customHeight="1" x14ac:dyDescent="0.35">
      <c r="A32" s="3" t="s">
        <v>94</v>
      </c>
      <c r="B32" s="3" t="s">
        <v>95</v>
      </c>
      <c r="C32" s="3">
        <v>2025</v>
      </c>
      <c r="D32" s="3" t="s">
        <v>96</v>
      </c>
      <c r="E32" s="3" t="s">
        <v>51</v>
      </c>
      <c r="F32" s="3" t="s">
        <v>22</v>
      </c>
      <c r="G32" s="3" t="s">
        <v>52</v>
      </c>
      <c r="H32" s="3" t="s">
        <v>97</v>
      </c>
      <c r="I32" s="3" t="s">
        <v>58</v>
      </c>
      <c r="J32" s="3" t="s">
        <v>37</v>
      </c>
      <c r="K32" s="3" t="s">
        <v>98</v>
      </c>
      <c r="L32" s="3">
        <v>0.64990000000000003</v>
      </c>
      <c r="M32" s="3">
        <v>0.63629999999999998</v>
      </c>
      <c r="N32" s="3" t="s">
        <v>99</v>
      </c>
      <c r="O32" s="3">
        <v>0.7298</v>
      </c>
      <c r="P32" s="3" t="s">
        <v>63</v>
      </c>
      <c r="Q32" s="3" t="s">
        <v>100</v>
      </c>
      <c r="R32" s="3"/>
    </row>
    <row r="33" spans="1:18" ht="73.5" customHeight="1" x14ac:dyDescent="0.35">
      <c r="A33" s="2" t="s">
        <v>94</v>
      </c>
      <c r="B33" s="2" t="s">
        <v>95</v>
      </c>
      <c r="C33" s="2">
        <v>2025</v>
      </c>
      <c r="D33" s="2" t="s">
        <v>96</v>
      </c>
      <c r="E33" s="2" t="s">
        <v>51</v>
      </c>
      <c r="F33" s="2" t="s">
        <v>22</v>
      </c>
      <c r="G33" s="2" t="s">
        <v>52</v>
      </c>
      <c r="H33" s="2" t="s">
        <v>97</v>
      </c>
      <c r="I33" s="2" t="s">
        <v>58</v>
      </c>
      <c r="J33" s="2" t="s">
        <v>26</v>
      </c>
      <c r="K33" s="2" t="s">
        <v>98</v>
      </c>
      <c r="L33" s="2">
        <v>7.78</v>
      </c>
      <c r="M33" s="2">
        <v>8.25</v>
      </c>
      <c r="N33" s="2" t="s">
        <v>99</v>
      </c>
      <c r="O33" s="2">
        <v>6.14</v>
      </c>
      <c r="P33" s="2" t="s">
        <v>63</v>
      </c>
      <c r="Q33" s="2" t="s">
        <v>100</v>
      </c>
      <c r="R33" s="2"/>
    </row>
    <row r="34" spans="1:18" ht="76.5" customHeight="1" x14ac:dyDescent="0.35">
      <c r="A34" s="3" t="s">
        <v>94</v>
      </c>
      <c r="B34" s="3" t="s">
        <v>95</v>
      </c>
      <c r="C34" s="3">
        <v>2025</v>
      </c>
      <c r="D34" s="3" t="s">
        <v>96</v>
      </c>
      <c r="E34" s="3" t="s">
        <v>51</v>
      </c>
      <c r="F34" s="3" t="s">
        <v>22</v>
      </c>
      <c r="G34" s="3" t="s">
        <v>52</v>
      </c>
      <c r="H34" s="3" t="s">
        <v>97</v>
      </c>
      <c r="I34" s="3" t="s">
        <v>58</v>
      </c>
      <c r="J34" s="3" t="s">
        <v>32</v>
      </c>
      <c r="K34" s="3" t="s">
        <v>98</v>
      </c>
      <c r="L34" s="3">
        <v>10.130000000000001</v>
      </c>
      <c r="M34" s="3">
        <v>11.06</v>
      </c>
      <c r="N34" s="3" t="s">
        <v>99</v>
      </c>
      <c r="O34" s="3">
        <v>8.11</v>
      </c>
      <c r="P34" s="3" t="s">
        <v>63</v>
      </c>
      <c r="Q34" s="3" t="s">
        <v>100</v>
      </c>
      <c r="R34" s="3"/>
    </row>
    <row r="35" spans="1:18" ht="63" customHeight="1" x14ac:dyDescent="0.35">
      <c r="A35" s="2" t="s">
        <v>101</v>
      </c>
      <c r="B35" s="2" t="s">
        <v>102</v>
      </c>
      <c r="C35" s="2">
        <v>2025</v>
      </c>
      <c r="D35" s="2" t="s">
        <v>103</v>
      </c>
      <c r="E35" s="2" t="s">
        <v>56</v>
      </c>
      <c r="F35" s="2" t="s">
        <v>22</v>
      </c>
      <c r="G35" s="2" t="s">
        <v>104</v>
      </c>
      <c r="H35" s="2" t="s">
        <v>105</v>
      </c>
      <c r="I35" s="2" t="s">
        <v>25</v>
      </c>
      <c r="J35" s="2" t="s">
        <v>39</v>
      </c>
      <c r="K35" s="2" t="s">
        <v>105</v>
      </c>
      <c r="L35" s="2">
        <v>0.76</v>
      </c>
      <c r="M35" s="2">
        <v>0.66</v>
      </c>
      <c r="N35" s="2" t="s">
        <v>106</v>
      </c>
      <c r="O35" s="2">
        <v>0.89</v>
      </c>
      <c r="P35" s="2" t="s">
        <v>107</v>
      </c>
      <c r="Q35" s="2" t="s">
        <v>93</v>
      </c>
      <c r="R35" s="2" t="s">
        <v>108</v>
      </c>
    </row>
    <row r="36" spans="1:18" ht="59.25" customHeight="1" x14ac:dyDescent="0.35">
      <c r="A36" s="3" t="s">
        <v>101</v>
      </c>
      <c r="B36" s="3" t="s">
        <v>102</v>
      </c>
      <c r="C36" s="3">
        <v>2025</v>
      </c>
      <c r="D36" s="3" t="s">
        <v>103</v>
      </c>
      <c r="E36" s="3" t="s">
        <v>56</v>
      </c>
      <c r="F36" s="3" t="s">
        <v>22</v>
      </c>
      <c r="G36" s="3" t="s">
        <v>104</v>
      </c>
      <c r="H36" s="3" t="s">
        <v>105</v>
      </c>
      <c r="I36" s="3" t="s">
        <v>25</v>
      </c>
      <c r="J36" s="3" t="s">
        <v>37</v>
      </c>
      <c r="K36" s="3" t="s">
        <v>105</v>
      </c>
      <c r="L36" s="3">
        <v>0.70499999999999996</v>
      </c>
      <c r="M36" s="3">
        <v>0.62</v>
      </c>
      <c r="N36" s="3" t="s">
        <v>106</v>
      </c>
      <c r="O36" s="3">
        <v>0.877</v>
      </c>
      <c r="P36" s="3" t="s">
        <v>107</v>
      </c>
      <c r="Q36" s="3" t="s">
        <v>93</v>
      </c>
      <c r="R36" s="3" t="s">
        <v>108</v>
      </c>
    </row>
    <row r="37" spans="1:18" ht="57" customHeight="1" x14ac:dyDescent="0.35">
      <c r="A37" s="2" t="s">
        <v>109</v>
      </c>
      <c r="B37" s="2" t="s">
        <v>110</v>
      </c>
      <c r="C37" s="2">
        <v>2025</v>
      </c>
      <c r="D37" s="2" t="s">
        <v>111</v>
      </c>
      <c r="E37" s="2" t="s">
        <v>51</v>
      </c>
      <c r="F37" s="2" t="s">
        <v>22</v>
      </c>
      <c r="G37" s="2" t="s">
        <v>52</v>
      </c>
      <c r="H37" s="2" t="s">
        <v>112</v>
      </c>
      <c r="I37" s="2" t="s">
        <v>58</v>
      </c>
      <c r="J37" s="2" t="s">
        <v>26</v>
      </c>
      <c r="K37" s="2" t="s">
        <v>44</v>
      </c>
      <c r="L37" s="2">
        <v>5.99</v>
      </c>
      <c r="M37" s="2">
        <v>6.63</v>
      </c>
      <c r="N37" s="2" t="s">
        <v>45</v>
      </c>
      <c r="O37" s="2">
        <v>5.75</v>
      </c>
      <c r="P37" s="2" t="s">
        <v>113</v>
      </c>
      <c r="Q37" s="2" t="s">
        <v>100</v>
      </c>
      <c r="R37" s="2"/>
    </row>
    <row r="38" spans="1:18" ht="64.5" customHeight="1" x14ac:dyDescent="0.35">
      <c r="A38" s="3" t="s">
        <v>109</v>
      </c>
      <c r="B38" s="3" t="s">
        <v>110</v>
      </c>
      <c r="C38" s="3">
        <v>2025</v>
      </c>
      <c r="D38" s="3" t="s">
        <v>111</v>
      </c>
      <c r="E38" s="3" t="s">
        <v>51</v>
      </c>
      <c r="F38" s="3" t="s">
        <v>22</v>
      </c>
      <c r="G38" s="3" t="s">
        <v>52</v>
      </c>
      <c r="H38" s="3" t="s">
        <v>112</v>
      </c>
      <c r="I38" s="3" t="s">
        <v>58</v>
      </c>
      <c r="J38" s="3" t="s">
        <v>32</v>
      </c>
      <c r="K38" s="3" t="s">
        <v>44</v>
      </c>
      <c r="L38" s="3">
        <v>7.68</v>
      </c>
      <c r="M38" s="3">
        <v>8.27</v>
      </c>
      <c r="N38" s="3" t="s">
        <v>45</v>
      </c>
      <c r="O38" s="3">
        <v>7.55</v>
      </c>
      <c r="P38" s="3" t="s">
        <v>113</v>
      </c>
      <c r="Q38" s="3" t="s">
        <v>100</v>
      </c>
      <c r="R38" s="3"/>
    </row>
    <row r="39" spans="1:18" ht="96.75" customHeight="1" x14ac:dyDescent="0.35">
      <c r="A39" s="2" t="s">
        <v>114</v>
      </c>
      <c r="B39" s="2" t="s">
        <v>115</v>
      </c>
      <c r="C39" s="2">
        <v>2025</v>
      </c>
      <c r="D39" s="2" t="s">
        <v>116</v>
      </c>
      <c r="E39" s="2" t="s">
        <v>67</v>
      </c>
      <c r="F39" s="2" t="s">
        <v>22</v>
      </c>
      <c r="G39" s="2" t="s">
        <v>416</v>
      </c>
      <c r="H39" s="2" t="s">
        <v>24</v>
      </c>
      <c r="I39" s="2" t="s">
        <v>68</v>
      </c>
      <c r="J39" s="2" t="s">
        <v>37</v>
      </c>
      <c r="K39" s="2" t="s">
        <v>27</v>
      </c>
      <c r="L39" s="2">
        <v>74.22</v>
      </c>
      <c r="M39" s="2">
        <v>72.66</v>
      </c>
      <c r="N39" s="2" t="s">
        <v>28</v>
      </c>
      <c r="O39" s="2">
        <v>77.69</v>
      </c>
      <c r="P39" s="2" t="s">
        <v>117</v>
      </c>
      <c r="Q39" s="2" t="s">
        <v>93</v>
      </c>
      <c r="R39" s="2"/>
    </row>
    <row r="40" spans="1:18" ht="117" customHeight="1" x14ac:dyDescent="0.35">
      <c r="A40" s="3" t="s">
        <v>114</v>
      </c>
      <c r="B40" s="3" t="s">
        <v>115</v>
      </c>
      <c r="C40" s="3">
        <v>2025</v>
      </c>
      <c r="D40" s="3" t="s">
        <v>116</v>
      </c>
      <c r="E40" s="3" t="s">
        <v>67</v>
      </c>
      <c r="F40" s="3" t="s">
        <v>22</v>
      </c>
      <c r="G40" s="3" t="s">
        <v>415</v>
      </c>
      <c r="H40" s="3" t="s">
        <v>24</v>
      </c>
      <c r="I40" s="3" t="s">
        <v>68</v>
      </c>
      <c r="J40" s="3" t="s">
        <v>39</v>
      </c>
      <c r="K40" s="3" t="s">
        <v>27</v>
      </c>
      <c r="L40" s="3">
        <v>68.87</v>
      </c>
      <c r="M40" s="3">
        <v>65.569999999999993</v>
      </c>
      <c r="N40" s="3" t="s">
        <v>28</v>
      </c>
      <c r="O40" s="3">
        <v>72.64</v>
      </c>
      <c r="P40" s="3" t="s">
        <v>117</v>
      </c>
      <c r="Q40" s="3" t="s">
        <v>93</v>
      </c>
      <c r="R40" s="3"/>
    </row>
    <row r="41" spans="1:18" ht="96.75" customHeight="1" x14ac:dyDescent="0.35">
      <c r="A41" s="2" t="s">
        <v>114</v>
      </c>
      <c r="B41" s="2" t="s">
        <v>115</v>
      </c>
      <c r="C41" s="2">
        <v>2025</v>
      </c>
      <c r="D41" s="2" t="s">
        <v>116</v>
      </c>
      <c r="E41" s="2" t="s">
        <v>70</v>
      </c>
      <c r="F41" s="2" t="s">
        <v>22</v>
      </c>
      <c r="G41" s="2" t="s">
        <v>415</v>
      </c>
      <c r="H41" s="2" t="s">
        <v>24</v>
      </c>
      <c r="I41" s="2" t="s">
        <v>68</v>
      </c>
      <c r="J41" s="2" t="s">
        <v>37</v>
      </c>
      <c r="K41" s="2" t="s">
        <v>27</v>
      </c>
      <c r="L41" s="2">
        <v>64.319999999999993</v>
      </c>
      <c r="M41" s="2">
        <v>71</v>
      </c>
      <c r="N41" s="2" t="s">
        <v>28</v>
      </c>
      <c r="O41" s="2">
        <v>76.680000000000007</v>
      </c>
      <c r="P41" s="2" t="s">
        <v>117</v>
      </c>
      <c r="Q41" s="2" t="s">
        <v>93</v>
      </c>
      <c r="R41" s="2"/>
    </row>
    <row r="42" spans="1:18" ht="117" customHeight="1" x14ac:dyDescent="0.35">
      <c r="A42" s="3" t="s">
        <v>114</v>
      </c>
      <c r="B42" s="3" t="s">
        <v>115</v>
      </c>
      <c r="C42" s="3">
        <v>2025</v>
      </c>
      <c r="D42" s="3" t="s">
        <v>116</v>
      </c>
      <c r="E42" s="3" t="s">
        <v>70</v>
      </c>
      <c r="F42" s="3" t="s">
        <v>22</v>
      </c>
      <c r="G42" s="3" t="s">
        <v>415</v>
      </c>
      <c r="H42" s="3" t="s">
        <v>24</v>
      </c>
      <c r="I42" s="3" t="s">
        <v>68</v>
      </c>
      <c r="J42" s="3" t="s">
        <v>39</v>
      </c>
      <c r="K42" s="3" t="s">
        <v>27</v>
      </c>
      <c r="L42" s="3">
        <v>61.2</v>
      </c>
      <c r="M42" s="3">
        <v>68.31</v>
      </c>
      <c r="N42" s="3" t="s">
        <v>28</v>
      </c>
      <c r="O42" s="3">
        <v>75.41</v>
      </c>
      <c r="P42" s="3" t="s">
        <v>117</v>
      </c>
      <c r="Q42" s="3" t="s">
        <v>93</v>
      </c>
      <c r="R42" s="3"/>
    </row>
    <row r="43" spans="1:18" ht="99.75" customHeight="1" x14ac:dyDescent="0.35">
      <c r="A43" s="2" t="s">
        <v>118</v>
      </c>
      <c r="B43" s="2" t="s">
        <v>119</v>
      </c>
      <c r="C43" s="2">
        <v>2025</v>
      </c>
      <c r="D43" s="2" t="s">
        <v>120</v>
      </c>
      <c r="E43" s="2" t="s">
        <v>56</v>
      </c>
      <c r="F43" s="2" t="s">
        <v>121</v>
      </c>
      <c r="G43" s="2" t="s">
        <v>122</v>
      </c>
      <c r="H43" s="2" t="s">
        <v>43</v>
      </c>
      <c r="I43" s="2" t="s">
        <v>25</v>
      </c>
      <c r="J43" s="2" t="s">
        <v>37</v>
      </c>
      <c r="K43" s="2" t="s">
        <v>44</v>
      </c>
      <c r="L43" s="2">
        <v>0.36299999999999999</v>
      </c>
      <c r="M43" s="2">
        <v>0.376</v>
      </c>
      <c r="N43" s="2" t="s">
        <v>45</v>
      </c>
      <c r="O43" s="2">
        <v>0.438</v>
      </c>
      <c r="P43" s="2" t="s">
        <v>123</v>
      </c>
      <c r="Q43" s="2" t="s">
        <v>100</v>
      </c>
      <c r="R43" s="2" t="s">
        <v>124</v>
      </c>
    </row>
    <row r="44" spans="1:18" ht="90" customHeight="1" x14ac:dyDescent="0.35">
      <c r="A44" s="3" t="s">
        <v>118</v>
      </c>
      <c r="B44" s="3" t="s">
        <v>119</v>
      </c>
      <c r="C44" s="3">
        <v>2025</v>
      </c>
      <c r="D44" s="3" t="s">
        <v>120</v>
      </c>
      <c r="E44" s="3" t="s">
        <v>56</v>
      </c>
      <c r="F44" s="3" t="s">
        <v>121</v>
      </c>
      <c r="G44" s="3" t="s">
        <v>122</v>
      </c>
      <c r="H44" s="3" t="s">
        <v>43</v>
      </c>
      <c r="I44" s="3" t="s">
        <v>25</v>
      </c>
      <c r="J44" s="3" t="s">
        <v>39</v>
      </c>
      <c r="K44" s="3" t="s">
        <v>44</v>
      </c>
      <c r="L44" s="3">
        <v>0.38</v>
      </c>
      <c r="M44" s="3">
        <v>0.38600000000000001</v>
      </c>
      <c r="N44" s="3" t="s">
        <v>45</v>
      </c>
      <c r="O44" s="3">
        <v>0.44700000000000001</v>
      </c>
      <c r="P44" s="3" t="s">
        <v>123</v>
      </c>
      <c r="Q44" s="3" t="s">
        <v>100</v>
      </c>
      <c r="R44" s="3" t="s">
        <v>124</v>
      </c>
    </row>
    <row r="45" spans="1:18" ht="109.5" customHeight="1" x14ac:dyDescent="0.35">
      <c r="A45" s="2" t="s">
        <v>125</v>
      </c>
      <c r="B45" s="2" t="s">
        <v>126</v>
      </c>
      <c r="C45" s="2">
        <v>2024</v>
      </c>
      <c r="D45" s="2" t="s">
        <v>127</v>
      </c>
      <c r="E45" s="2" t="s">
        <v>51</v>
      </c>
      <c r="F45" s="2" t="s">
        <v>22</v>
      </c>
      <c r="G45" s="2" t="s">
        <v>52</v>
      </c>
      <c r="H45" s="2" t="s">
        <v>24</v>
      </c>
      <c r="I45" s="2" t="s">
        <v>58</v>
      </c>
      <c r="J45" s="2" t="s">
        <v>26</v>
      </c>
      <c r="K45" s="2" t="s">
        <v>27</v>
      </c>
      <c r="L45" s="2">
        <v>7.64</v>
      </c>
      <c r="M45" s="2">
        <v>7.58</v>
      </c>
      <c r="N45" s="2" t="s">
        <v>28</v>
      </c>
      <c r="O45" s="2">
        <v>7.23</v>
      </c>
      <c r="P45" s="2" t="s">
        <v>128</v>
      </c>
      <c r="Q45" s="2" t="s">
        <v>93</v>
      </c>
      <c r="R45" s="2"/>
    </row>
    <row r="46" spans="1:18" ht="93" customHeight="1" x14ac:dyDescent="0.35">
      <c r="A46" s="3" t="s">
        <v>129</v>
      </c>
      <c r="B46" s="3" t="s">
        <v>130</v>
      </c>
      <c r="C46" s="3">
        <v>2024</v>
      </c>
      <c r="D46" s="3" t="s">
        <v>131</v>
      </c>
      <c r="E46" s="3" t="s">
        <v>56</v>
      </c>
      <c r="F46" s="3" t="s">
        <v>132</v>
      </c>
      <c r="G46" s="3" t="s">
        <v>133</v>
      </c>
      <c r="H46" s="3" t="s">
        <v>43</v>
      </c>
      <c r="I46" s="3" t="s">
        <v>58</v>
      </c>
      <c r="J46" s="3" t="s">
        <v>39</v>
      </c>
      <c r="K46" s="3" t="s">
        <v>44</v>
      </c>
      <c r="L46" s="3">
        <f>(71.1+72.8+66.2+68.7)/4</f>
        <v>69.699999999999989</v>
      </c>
      <c r="M46" s="3">
        <f>(70.4+71.2+69.2+67.9)/4</f>
        <v>69.675000000000011</v>
      </c>
      <c r="N46" s="3" t="s">
        <v>45</v>
      </c>
      <c r="O46" s="3">
        <f>(84.2+87.3+86.9+89.3)/4</f>
        <v>86.924999999999997</v>
      </c>
      <c r="P46" s="3" t="s">
        <v>134</v>
      </c>
      <c r="Q46" s="3" t="s">
        <v>100</v>
      </c>
      <c r="R46" s="3" t="s">
        <v>135</v>
      </c>
    </row>
    <row r="47" spans="1:18" ht="100.5" customHeight="1" x14ac:dyDescent="0.35">
      <c r="A47" s="2" t="s">
        <v>129</v>
      </c>
      <c r="B47" s="2" t="s">
        <v>130</v>
      </c>
      <c r="C47" s="2">
        <v>2024</v>
      </c>
      <c r="D47" s="2" t="s">
        <v>131</v>
      </c>
      <c r="E47" s="2" t="s">
        <v>56</v>
      </c>
      <c r="F47" s="2" t="s">
        <v>132</v>
      </c>
      <c r="G47" s="2" t="s">
        <v>133</v>
      </c>
      <c r="H47" s="2" t="s">
        <v>43</v>
      </c>
      <c r="I47" s="2" t="s">
        <v>58</v>
      </c>
      <c r="J47" s="2" t="s">
        <v>37</v>
      </c>
      <c r="K47" s="2" t="s">
        <v>44</v>
      </c>
      <c r="L47" s="2">
        <f>(64.1+72.1+71.2+64.9)/4</f>
        <v>68.074999999999989</v>
      </c>
      <c r="M47" s="2">
        <f>(65.9+70.2+64.2+65.5)/4</f>
        <v>66.45</v>
      </c>
      <c r="N47" s="2" t="s">
        <v>45</v>
      </c>
      <c r="O47" s="2">
        <f>(80+81.9+86+86.8)/4</f>
        <v>83.674999999999997</v>
      </c>
      <c r="P47" s="2" t="s">
        <v>134</v>
      </c>
      <c r="Q47" s="2" t="s">
        <v>100</v>
      </c>
      <c r="R47" s="2" t="s">
        <v>135</v>
      </c>
    </row>
    <row r="48" spans="1:18" ht="112.5" customHeight="1" x14ac:dyDescent="0.35">
      <c r="A48" s="2" t="s">
        <v>136</v>
      </c>
      <c r="B48" s="2" t="s">
        <v>137</v>
      </c>
      <c r="C48" s="2">
        <v>2024</v>
      </c>
      <c r="D48" s="2" t="s">
        <v>138</v>
      </c>
      <c r="E48" s="2" t="s">
        <v>33</v>
      </c>
      <c r="F48" s="2" t="s">
        <v>22</v>
      </c>
      <c r="G48" s="2" t="s">
        <v>23</v>
      </c>
      <c r="H48" s="2" t="s">
        <v>43</v>
      </c>
      <c r="I48" s="2" t="s">
        <v>25</v>
      </c>
      <c r="J48" s="2" t="s">
        <v>32</v>
      </c>
      <c r="K48" s="2" t="s">
        <v>44</v>
      </c>
      <c r="L48" s="2">
        <v>5.16</v>
      </c>
      <c r="M48" s="2">
        <v>6.19</v>
      </c>
      <c r="N48" s="2" t="s">
        <v>45</v>
      </c>
      <c r="O48" s="2">
        <v>4.79</v>
      </c>
      <c r="P48" s="2" t="s">
        <v>117</v>
      </c>
      <c r="Q48" s="2" t="s">
        <v>100</v>
      </c>
      <c r="R48" s="2"/>
    </row>
    <row r="49" spans="1:18" ht="96" customHeight="1" x14ac:dyDescent="0.35">
      <c r="A49" s="3" t="s">
        <v>136</v>
      </c>
      <c r="B49" s="3" t="s">
        <v>137</v>
      </c>
      <c r="C49" s="3">
        <v>2024</v>
      </c>
      <c r="D49" s="3" t="s">
        <v>138</v>
      </c>
      <c r="E49" s="3" t="s">
        <v>67</v>
      </c>
      <c r="F49" s="3" t="s">
        <v>22</v>
      </c>
      <c r="G49" s="3" t="s">
        <v>415</v>
      </c>
      <c r="H49" s="3" t="s">
        <v>24</v>
      </c>
      <c r="I49" s="3" t="s">
        <v>68</v>
      </c>
      <c r="J49" s="3" t="s">
        <v>37</v>
      </c>
      <c r="K49" s="3" t="s">
        <v>27</v>
      </c>
      <c r="L49" s="3">
        <v>0.69599999999999995</v>
      </c>
      <c r="M49" s="3">
        <v>0.57899999999999996</v>
      </c>
      <c r="N49" s="3" t="s">
        <v>28</v>
      </c>
      <c r="O49" s="3">
        <v>0.73599999999999999</v>
      </c>
      <c r="P49" s="3" t="s">
        <v>63</v>
      </c>
      <c r="Q49" s="3" t="s">
        <v>93</v>
      </c>
      <c r="R49" s="3"/>
    </row>
    <row r="50" spans="1:18" ht="81" customHeight="1" x14ac:dyDescent="0.35">
      <c r="A50" s="2" t="s">
        <v>139</v>
      </c>
      <c r="B50" s="2" t="s">
        <v>140</v>
      </c>
      <c r="C50" s="2">
        <v>2024</v>
      </c>
      <c r="D50" s="2" t="s">
        <v>141</v>
      </c>
      <c r="E50" s="2" t="s">
        <v>56</v>
      </c>
      <c r="F50" s="2" t="s">
        <v>142</v>
      </c>
      <c r="G50" s="2" t="s">
        <v>423</v>
      </c>
      <c r="H50" s="2" t="s">
        <v>24</v>
      </c>
      <c r="I50" s="2" t="s">
        <v>58</v>
      </c>
      <c r="J50" s="2" t="s">
        <v>39</v>
      </c>
      <c r="K50" s="2" t="s">
        <v>27</v>
      </c>
      <c r="L50" s="2">
        <v>0.83</v>
      </c>
      <c r="M50" s="2">
        <v>0.68</v>
      </c>
      <c r="N50" s="2" t="s">
        <v>28</v>
      </c>
      <c r="O50" s="2">
        <v>0.85</v>
      </c>
      <c r="P50" s="2" t="s">
        <v>113</v>
      </c>
      <c r="Q50" s="2" t="s">
        <v>93</v>
      </c>
      <c r="R50" s="2" t="s">
        <v>143</v>
      </c>
    </row>
    <row r="51" spans="1:18" ht="75" customHeight="1" x14ac:dyDescent="0.35">
      <c r="A51" s="3" t="s">
        <v>139</v>
      </c>
      <c r="B51" s="3" t="s">
        <v>140</v>
      </c>
      <c r="C51" s="3">
        <v>2024</v>
      </c>
      <c r="D51" s="3" t="s">
        <v>141</v>
      </c>
      <c r="E51" s="3" t="s">
        <v>56</v>
      </c>
      <c r="F51" s="3" t="s">
        <v>132</v>
      </c>
      <c r="G51" s="3" t="s">
        <v>85</v>
      </c>
      <c r="H51" s="3" t="s">
        <v>24</v>
      </c>
      <c r="I51" s="3" t="s">
        <v>58</v>
      </c>
      <c r="J51" s="3" t="s">
        <v>26</v>
      </c>
      <c r="K51" s="3" t="s">
        <v>27</v>
      </c>
      <c r="L51" s="3">
        <v>5.81</v>
      </c>
      <c r="M51" s="3">
        <v>7.58</v>
      </c>
      <c r="N51" s="3" t="s">
        <v>28</v>
      </c>
      <c r="O51" s="3">
        <v>5.71</v>
      </c>
      <c r="P51" s="3" t="s">
        <v>117</v>
      </c>
      <c r="Q51" s="3" t="s">
        <v>93</v>
      </c>
      <c r="R51" s="3" t="s">
        <v>143</v>
      </c>
    </row>
    <row r="52" spans="1:18" ht="89.25" customHeight="1" x14ac:dyDescent="0.35">
      <c r="A52" s="2" t="s">
        <v>144</v>
      </c>
      <c r="B52" s="2" t="s">
        <v>145</v>
      </c>
      <c r="C52" s="2">
        <v>2024</v>
      </c>
      <c r="D52" s="2" t="s">
        <v>146</v>
      </c>
      <c r="E52" s="2" t="s">
        <v>56</v>
      </c>
      <c r="F52" s="2" t="s">
        <v>142</v>
      </c>
      <c r="G52" s="2" t="s">
        <v>133</v>
      </c>
      <c r="H52" s="2" t="s">
        <v>147</v>
      </c>
      <c r="I52" s="2" t="s">
        <v>58</v>
      </c>
      <c r="J52" s="2" t="s">
        <v>37</v>
      </c>
      <c r="K52" s="2" t="s">
        <v>148</v>
      </c>
      <c r="L52" s="2">
        <v>77.900000000000006</v>
      </c>
      <c r="M52" s="2">
        <v>75.400000000000006</v>
      </c>
      <c r="N52" s="2" t="s">
        <v>149</v>
      </c>
      <c r="O52" s="2">
        <v>86.8</v>
      </c>
      <c r="P52" s="2" t="s">
        <v>113</v>
      </c>
      <c r="Q52" s="2" t="s">
        <v>100</v>
      </c>
      <c r="R52" s="2" t="s">
        <v>150</v>
      </c>
    </row>
    <row r="53" spans="1:18" ht="97.5" customHeight="1" x14ac:dyDescent="0.35">
      <c r="A53" s="3" t="s">
        <v>144</v>
      </c>
      <c r="B53" s="3" t="s">
        <v>145</v>
      </c>
      <c r="C53" s="3">
        <v>2024</v>
      </c>
      <c r="D53" s="3" t="s">
        <v>146</v>
      </c>
      <c r="E53" s="3" t="s">
        <v>56</v>
      </c>
      <c r="F53" s="3" t="s">
        <v>142</v>
      </c>
      <c r="G53" s="3" t="s">
        <v>133</v>
      </c>
      <c r="H53" s="3" t="s">
        <v>147</v>
      </c>
      <c r="I53" s="3" t="s">
        <v>58</v>
      </c>
      <c r="J53" s="3" t="s">
        <v>39</v>
      </c>
      <c r="K53" s="3" t="s">
        <v>148</v>
      </c>
      <c r="L53" s="3">
        <v>79.3</v>
      </c>
      <c r="M53" s="3">
        <v>76.2</v>
      </c>
      <c r="N53" s="3" t="s">
        <v>149</v>
      </c>
      <c r="O53" s="3">
        <v>88.3</v>
      </c>
      <c r="P53" s="3" t="s">
        <v>113</v>
      </c>
      <c r="Q53" s="3" t="s">
        <v>100</v>
      </c>
      <c r="R53" s="3" t="s">
        <v>150</v>
      </c>
    </row>
    <row r="54" spans="1:18" ht="39" customHeight="1" x14ac:dyDescent="0.35">
      <c r="A54" s="2" t="s">
        <v>151</v>
      </c>
      <c r="B54" s="2" t="s">
        <v>152</v>
      </c>
      <c r="C54" s="2">
        <v>2024</v>
      </c>
      <c r="D54" s="2" t="s">
        <v>153</v>
      </c>
      <c r="E54" s="2" t="s">
        <v>56</v>
      </c>
      <c r="F54" s="2" t="s">
        <v>22</v>
      </c>
      <c r="G54" s="2" t="s">
        <v>422</v>
      </c>
      <c r="H54" s="2" t="s">
        <v>24</v>
      </c>
      <c r="I54" s="2" t="s">
        <v>25</v>
      </c>
      <c r="J54" s="2" t="s">
        <v>39</v>
      </c>
      <c r="K54" s="2" t="s">
        <v>27</v>
      </c>
      <c r="L54" s="2">
        <v>91.4</v>
      </c>
      <c r="M54" s="2">
        <v>86.3</v>
      </c>
      <c r="N54" s="2" t="s">
        <v>28</v>
      </c>
      <c r="O54" s="2">
        <v>95.8</v>
      </c>
      <c r="P54" s="2" t="s">
        <v>154</v>
      </c>
      <c r="Q54" s="2" t="s">
        <v>93</v>
      </c>
      <c r="R54" s="2" t="s">
        <v>155</v>
      </c>
    </row>
    <row r="55" spans="1:18" ht="39" customHeight="1" x14ac:dyDescent="0.35">
      <c r="A55" s="3" t="s">
        <v>151</v>
      </c>
      <c r="B55" s="3" t="s">
        <v>152</v>
      </c>
      <c r="C55" s="3">
        <v>2024</v>
      </c>
      <c r="D55" s="3" t="s">
        <v>153</v>
      </c>
      <c r="E55" s="3" t="s">
        <v>56</v>
      </c>
      <c r="F55" s="3" t="s">
        <v>22</v>
      </c>
      <c r="G55" s="3" t="s">
        <v>167</v>
      </c>
      <c r="H55" s="3" t="s">
        <v>24</v>
      </c>
      <c r="I55" s="3" t="s">
        <v>25</v>
      </c>
      <c r="J55" s="3" t="s">
        <v>39</v>
      </c>
      <c r="K55" s="3" t="s">
        <v>27</v>
      </c>
      <c r="L55" s="3">
        <v>75.599999999999994</v>
      </c>
      <c r="M55" s="3">
        <v>63.1</v>
      </c>
      <c r="N55" s="3" t="s">
        <v>28</v>
      </c>
      <c r="O55" s="3">
        <v>87.8</v>
      </c>
      <c r="P55" s="3" t="s">
        <v>154</v>
      </c>
      <c r="Q55" s="3" t="s">
        <v>93</v>
      </c>
      <c r="R55" s="3" t="s">
        <v>156</v>
      </c>
    </row>
    <row r="56" spans="1:18" ht="39" customHeight="1" x14ac:dyDescent="0.35">
      <c r="A56" s="2" t="s">
        <v>151</v>
      </c>
      <c r="B56" s="2" t="s">
        <v>152</v>
      </c>
      <c r="C56" s="2">
        <v>2024</v>
      </c>
      <c r="D56" s="2" t="s">
        <v>153</v>
      </c>
      <c r="E56" s="2" t="s">
        <v>56</v>
      </c>
      <c r="F56" s="2" t="s">
        <v>157</v>
      </c>
      <c r="G56" s="2" t="s">
        <v>420</v>
      </c>
      <c r="H56" s="2" t="s">
        <v>24</v>
      </c>
      <c r="I56" s="2" t="s">
        <v>25</v>
      </c>
      <c r="J56" s="2" t="s">
        <v>39</v>
      </c>
      <c r="K56" s="2" t="s">
        <v>27</v>
      </c>
      <c r="L56" s="2">
        <v>93.2</v>
      </c>
      <c r="M56" s="2">
        <v>85.9</v>
      </c>
      <c r="N56" s="2" t="s">
        <v>28</v>
      </c>
      <c r="O56" s="2">
        <v>96.1</v>
      </c>
      <c r="P56" s="2" t="s">
        <v>154</v>
      </c>
      <c r="Q56" s="2" t="s">
        <v>93</v>
      </c>
      <c r="R56" s="2" t="s">
        <v>155</v>
      </c>
    </row>
    <row r="57" spans="1:18" ht="39" customHeight="1" x14ac:dyDescent="0.35">
      <c r="A57" s="3" t="s">
        <v>151</v>
      </c>
      <c r="B57" s="3" t="s">
        <v>152</v>
      </c>
      <c r="C57" s="3">
        <v>2024</v>
      </c>
      <c r="D57" s="3" t="s">
        <v>153</v>
      </c>
      <c r="E57" s="3" t="s">
        <v>56</v>
      </c>
      <c r="F57" s="3" t="s">
        <v>157</v>
      </c>
      <c r="G57" s="3" t="s">
        <v>420</v>
      </c>
      <c r="H57" s="3" t="s">
        <v>24</v>
      </c>
      <c r="I57" s="3" t="s">
        <v>25</v>
      </c>
      <c r="J57" s="3" t="s">
        <v>39</v>
      </c>
      <c r="K57" s="3" t="s">
        <v>27</v>
      </c>
      <c r="L57" s="3">
        <v>58.8</v>
      </c>
      <c r="M57" s="3">
        <v>57.7</v>
      </c>
      <c r="N57" s="3" t="s">
        <v>28</v>
      </c>
      <c r="O57" s="3">
        <v>88.2</v>
      </c>
      <c r="P57" s="3" t="s">
        <v>154</v>
      </c>
      <c r="Q57" s="3" t="s">
        <v>93</v>
      </c>
      <c r="R57" s="3" t="s">
        <v>156</v>
      </c>
    </row>
    <row r="58" spans="1:18" ht="40.5" customHeight="1" x14ac:dyDescent="0.35">
      <c r="A58" s="2" t="s">
        <v>158</v>
      </c>
      <c r="B58" s="2" t="s">
        <v>159</v>
      </c>
      <c r="C58" s="2">
        <v>2024</v>
      </c>
      <c r="D58" s="2"/>
      <c r="E58" s="2" t="s">
        <v>33</v>
      </c>
      <c r="F58" s="2" t="s">
        <v>22</v>
      </c>
      <c r="G58" s="2" t="s">
        <v>23</v>
      </c>
      <c r="H58" s="2" t="s">
        <v>43</v>
      </c>
      <c r="I58" s="2" t="s">
        <v>25</v>
      </c>
      <c r="J58" s="2" t="s">
        <v>32</v>
      </c>
      <c r="K58" s="2" t="s">
        <v>44</v>
      </c>
      <c r="L58" s="2">
        <v>5.01</v>
      </c>
      <c r="M58" s="2">
        <v>5.83</v>
      </c>
      <c r="N58" s="2" t="s">
        <v>45</v>
      </c>
      <c r="O58" s="2">
        <v>4.8</v>
      </c>
      <c r="P58" s="2" t="s">
        <v>81</v>
      </c>
      <c r="Q58" s="2" t="s">
        <v>100</v>
      </c>
      <c r="R58" s="2"/>
    </row>
    <row r="59" spans="1:18" ht="48" customHeight="1" x14ac:dyDescent="0.35">
      <c r="A59" s="2" t="s">
        <v>160</v>
      </c>
      <c r="B59" s="2" t="s">
        <v>161</v>
      </c>
      <c r="C59" s="2">
        <v>2024</v>
      </c>
      <c r="D59" s="2" t="s">
        <v>162</v>
      </c>
      <c r="E59" s="2" t="s">
        <v>56</v>
      </c>
      <c r="F59" s="2" t="s">
        <v>22</v>
      </c>
      <c r="G59" s="2" t="s">
        <v>85</v>
      </c>
      <c r="H59" s="2" t="s">
        <v>43</v>
      </c>
      <c r="I59" s="2" t="s">
        <v>58</v>
      </c>
      <c r="J59" s="2" t="s">
        <v>37</v>
      </c>
      <c r="K59" s="2" t="s">
        <v>44</v>
      </c>
      <c r="L59" s="2">
        <v>0.66</v>
      </c>
      <c r="M59" s="2">
        <v>0.65</v>
      </c>
      <c r="N59" s="2" t="s">
        <v>45</v>
      </c>
      <c r="O59" s="2">
        <v>0.76</v>
      </c>
      <c r="P59" s="2" t="s">
        <v>163</v>
      </c>
      <c r="Q59" s="2" t="s">
        <v>100</v>
      </c>
      <c r="R59" s="2"/>
    </row>
    <row r="60" spans="1:18" ht="74.25" customHeight="1" x14ac:dyDescent="0.35">
      <c r="A60" s="2" t="s">
        <v>164</v>
      </c>
      <c r="B60" s="2" t="s">
        <v>165</v>
      </c>
      <c r="C60" s="2">
        <v>2026</v>
      </c>
      <c r="D60" s="2" t="s">
        <v>166</v>
      </c>
      <c r="E60" s="2" t="s">
        <v>56</v>
      </c>
      <c r="F60" s="2" t="s">
        <v>22</v>
      </c>
      <c r="G60" s="2" t="s">
        <v>167</v>
      </c>
      <c r="H60" s="2" t="s">
        <v>43</v>
      </c>
      <c r="I60" s="2" t="s">
        <v>25</v>
      </c>
      <c r="J60" s="2" t="s">
        <v>37</v>
      </c>
      <c r="K60" s="2" t="s">
        <v>44</v>
      </c>
      <c r="L60" s="2">
        <v>0.84</v>
      </c>
      <c r="M60" s="2">
        <v>0.79</v>
      </c>
      <c r="N60" s="2" t="s">
        <v>45</v>
      </c>
      <c r="O60" s="2">
        <v>0.89</v>
      </c>
      <c r="P60" s="2" t="s">
        <v>81</v>
      </c>
      <c r="Q60" s="2" t="s">
        <v>100</v>
      </c>
      <c r="R60" s="2" t="s">
        <v>168</v>
      </c>
    </row>
    <row r="61" spans="1:18" ht="54" customHeight="1" x14ac:dyDescent="0.35">
      <c r="A61" s="3" t="s">
        <v>169</v>
      </c>
      <c r="B61" s="3" t="s">
        <v>170</v>
      </c>
      <c r="C61" s="3">
        <v>2024</v>
      </c>
      <c r="D61" s="3" t="s">
        <v>171</v>
      </c>
      <c r="E61" s="3" t="s">
        <v>33</v>
      </c>
      <c r="F61" s="3" t="s">
        <v>22</v>
      </c>
      <c r="G61" s="3" t="s">
        <v>23</v>
      </c>
      <c r="H61" s="3" t="s">
        <v>24</v>
      </c>
      <c r="I61" s="3" t="s">
        <v>25</v>
      </c>
      <c r="J61" s="3" t="s">
        <v>32</v>
      </c>
      <c r="K61" s="3" t="s">
        <v>27</v>
      </c>
      <c r="L61" s="3">
        <v>6.23</v>
      </c>
      <c r="M61" s="3">
        <v>6</v>
      </c>
      <c r="N61" s="3" t="s">
        <v>28</v>
      </c>
      <c r="O61" s="3">
        <v>5.55</v>
      </c>
      <c r="P61" s="3" t="s">
        <v>172</v>
      </c>
      <c r="Q61" s="3" t="s">
        <v>93</v>
      </c>
      <c r="R61" s="3"/>
    </row>
    <row r="62" spans="1:18" ht="54" customHeight="1" x14ac:dyDescent="0.35">
      <c r="A62" s="3" t="s">
        <v>169</v>
      </c>
      <c r="B62" s="3" t="s">
        <v>170</v>
      </c>
      <c r="C62" s="3">
        <v>2024</v>
      </c>
      <c r="D62" s="3" t="s">
        <v>171</v>
      </c>
      <c r="E62" s="3" t="s">
        <v>21</v>
      </c>
      <c r="F62" s="3" t="s">
        <v>22</v>
      </c>
      <c r="G62" s="3" t="s">
        <v>23</v>
      </c>
      <c r="H62" s="3" t="s">
        <v>24</v>
      </c>
      <c r="I62" s="3" t="s">
        <v>25</v>
      </c>
      <c r="J62" s="3" t="s">
        <v>32</v>
      </c>
      <c r="K62" s="3" t="s">
        <v>27</v>
      </c>
      <c r="L62" s="3">
        <v>5.8</v>
      </c>
      <c r="M62" s="3">
        <v>5.56</v>
      </c>
      <c r="N62" s="3" t="s">
        <v>28</v>
      </c>
      <c r="O62" s="3">
        <v>4.9400000000000004</v>
      </c>
      <c r="P62" s="3" t="s">
        <v>81</v>
      </c>
      <c r="Q62" s="3" t="s">
        <v>93</v>
      </c>
      <c r="R62" s="3"/>
    </row>
    <row r="63" spans="1:18" ht="78" customHeight="1" x14ac:dyDescent="0.35">
      <c r="A63" s="3" t="s">
        <v>169</v>
      </c>
      <c r="B63" s="3" t="s">
        <v>170</v>
      </c>
      <c r="C63" s="3">
        <v>2024</v>
      </c>
      <c r="D63" s="3" t="s">
        <v>171</v>
      </c>
      <c r="E63" s="3" t="s">
        <v>21</v>
      </c>
      <c r="F63" s="3" t="s">
        <v>22</v>
      </c>
      <c r="G63" s="3" t="s">
        <v>23</v>
      </c>
      <c r="H63" s="3" t="s">
        <v>24</v>
      </c>
      <c r="I63" s="3" t="s">
        <v>25</v>
      </c>
      <c r="J63" s="3" t="s">
        <v>26</v>
      </c>
      <c r="K63" s="3" t="s">
        <v>27</v>
      </c>
      <c r="L63" s="3">
        <v>4.87</v>
      </c>
      <c r="M63" s="3">
        <v>4.22</v>
      </c>
      <c r="N63" s="3" t="s">
        <v>28</v>
      </c>
      <c r="O63" s="3">
        <v>3.87</v>
      </c>
      <c r="P63" s="3" t="s">
        <v>81</v>
      </c>
      <c r="Q63" s="3" t="s">
        <v>93</v>
      </c>
      <c r="R63" s="3"/>
    </row>
    <row r="64" spans="1:18" ht="82.5" customHeight="1" x14ac:dyDescent="0.35">
      <c r="A64" s="3" t="s">
        <v>173</v>
      </c>
      <c r="B64" s="3" t="s">
        <v>174</v>
      </c>
      <c r="C64" s="3">
        <v>2024</v>
      </c>
      <c r="D64" s="3" t="s">
        <v>175</v>
      </c>
      <c r="E64" s="3" t="s">
        <v>56</v>
      </c>
      <c r="F64" s="3" t="s">
        <v>22</v>
      </c>
      <c r="G64" s="3" t="s">
        <v>85</v>
      </c>
      <c r="H64" s="3" t="s">
        <v>105</v>
      </c>
      <c r="I64" s="3" t="s">
        <v>58</v>
      </c>
      <c r="J64" s="3" t="s">
        <v>37</v>
      </c>
      <c r="K64" s="3" t="s">
        <v>105</v>
      </c>
      <c r="L64" s="3">
        <v>0.77400000000000002</v>
      </c>
      <c r="M64" s="3">
        <v>0.75900000000000001</v>
      </c>
      <c r="N64" s="3" t="s">
        <v>106</v>
      </c>
      <c r="O64" s="3">
        <v>0.88600000000000001</v>
      </c>
      <c r="P64" s="3" t="s">
        <v>176</v>
      </c>
      <c r="Q64" s="3" t="s">
        <v>93</v>
      </c>
      <c r="R64" s="3" t="s">
        <v>177</v>
      </c>
    </row>
    <row r="65" spans="1:18" ht="25.5" customHeight="1" x14ac:dyDescent="0.35">
      <c r="A65" s="3" t="s">
        <v>178</v>
      </c>
      <c r="B65" s="3" t="s">
        <v>179</v>
      </c>
      <c r="C65" s="3">
        <v>2023</v>
      </c>
      <c r="D65" s="3" t="s">
        <v>180</v>
      </c>
      <c r="E65" s="3" t="s">
        <v>79</v>
      </c>
      <c r="F65" s="3" t="s">
        <v>22</v>
      </c>
      <c r="G65" s="3" t="s">
        <v>52</v>
      </c>
      <c r="H65" s="3" t="s">
        <v>24</v>
      </c>
      <c r="I65" s="3" t="s">
        <v>58</v>
      </c>
      <c r="J65" s="3" t="s">
        <v>26</v>
      </c>
      <c r="K65" s="3" t="s">
        <v>27</v>
      </c>
      <c r="L65" s="3">
        <v>6.7</v>
      </c>
      <c r="M65" s="3">
        <v>5.9</v>
      </c>
      <c r="N65" s="3" t="s">
        <v>28</v>
      </c>
      <c r="O65" s="3">
        <v>5.38</v>
      </c>
      <c r="P65" s="3" t="s">
        <v>163</v>
      </c>
      <c r="Q65" s="3" t="s">
        <v>93</v>
      </c>
      <c r="R65" s="3"/>
    </row>
    <row r="66" spans="1:18" ht="39.75" customHeight="1" x14ac:dyDescent="0.35">
      <c r="A66" s="3" t="s">
        <v>178</v>
      </c>
      <c r="B66" s="3" t="s">
        <v>179</v>
      </c>
      <c r="C66" s="3">
        <v>2023</v>
      </c>
      <c r="D66" s="3" t="s">
        <v>180</v>
      </c>
      <c r="E66" s="3" t="s">
        <v>79</v>
      </c>
      <c r="F66" s="3" t="s">
        <v>22</v>
      </c>
      <c r="G66" s="3" t="s">
        <v>52</v>
      </c>
      <c r="H66" s="3" t="s">
        <v>24</v>
      </c>
      <c r="I66" s="3" t="s">
        <v>58</v>
      </c>
      <c r="J66" s="3" t="s">
        <v>32</v>
      </c>
      <c r="K66" s="3" t="s">
        <v>27</v>
      </c>
      <c r="L66" s="3">
        <v>8.16</v>
      </c>
      <c r="M66" s="3">
        <v>7.32</v>
      </c>
      <c r="N66" s="3" t="s">
        <v>28</v>
      </c>
      <c r="O66" s="3">
        <v>6.83</v>
      </c>
      <c r="P66" s="3" t="s">
        <v>163</v>
      </c>
      <c r="Q66" s="3" t="s">
        <v>93</v>
      </c>
      <c r="R66" s="3"/>
    </row>
    <row r="67" spans="1:18" ht="69" customHeight="1" x14ac:dyDescent="0.35">
      <c r="A67" s="2" t="s">
        <v>178</v>
      </c>
      <c r="B67" s="2" t="s">
        <v>179</v>
      </c>
      <c r="C67" s="2">
        <v>2023</v>
      </c>
      <c r="D67" s="2" t="s">
        <v>180</v>
      </c>
      <c r="E67" s="2" t="s">
        <v>51</v>
      </c>
      <c r="F67" s="2" t="s">
        <v>22</v>
      </c>
      <c r="G67" s="2" t="s">
        <v>52</v>
      </c>
      <c r="H67" s="2" t="s">
        <v>24</v>
      </c>
      <c r="I67" s="2" t="s">
        <v>58</v>
      </c>
      <c r="J67" s="2" t="s">
        <v>26</v>
      </c>
      <c r="K67" s="2" t="s">
        <v>27</v>
      </c>
      <c r="L67" s="2">
        <v>6.95</v>
      </c>
      <c r="M67" s="2">
        <v>5.75</v>
      </c>
      <c r="N67" s="2" t="s">
        <v>28</v>
      </c>
      <c r="O67" s="2">
        <v>5.03</v>
      </c>
      <c r="P67" s="2" t="s">
        <v>163</v>
      </c>
      <c r="Q67" s="2" t="s">
        <v>93</v>
      </c>
      <c r="R67" s="2"/>
    </row>
    <row r="68" spans="1:18" ht="69" customHeight="1" x14ac:dyDescent="0.35">
      <c r="A68" s="2" t="s">
        <v>178</v>
      </c>
      <c r="B68" s="2" t="s">
        <v>179</v>
      </c>
      <c r="C68" s="2">
        <v>2023</v>
      </c>
      <c r="D68" s="2" t="s">
        <v>180</v>
      </c>
      <c r="E68" s="2" t="s">
        <v>51</v>
      </c>
      <c r="F68" s="2" t="s">
        <v>22</v>
      </c>
      <c r="G68" s="2" t="s">
        <v>52</v>
      </c>
      <c r="H68" s="2" t="s">
        <v>24</v>
      </c>
      <c r="I68" s="2" t="s">
        <v>58</v>
      </c>
      <c r="J68" s="2" t="s">
        <v>32</v>
      </c>
      <c r="K68" s="2" t="s">
        <v>27</v>
      </c>
      <c r="L68" s="2">
        <v>8.4600000000000009</v>
      </c>
      <c r="M68" s="2">
        <v>6.98</v>
      </c>
      <c r="N68" s="2" t="s">
        <v>28</v>
      </c>
      <c r="O68" s="2">
        <v>6.16</v>
      </c>
      <c r="P68" s="2" t="s">
        <v>163</v>
      </c>
      <c r="Q68" s="2" t="s">
        <v>93</v>
      </c>
      <c r="R68" s="2"/>
    </row>
    <row r="69" spans="1:18" ht="81" customHeight="1" x14ac:dyDescent="0.35">
      <c r="A69" s="3" t="s">
        <v>181</v>
      </c>
      <c r="B69" s="3" t="s">
        <v>182</v>
      </c>
      <c r="C69" s="3">
        <v>2023</v>
      </c>
      <c r="D69" s="3" t="s">
        <v>183</v>
      </c>
      <c r="E69" s="3" t="s">
        <v>56</v>
      </c>
      <c r="F69" s="3" t="s">
        <v>184</v>
      </c>
      <c r="G69" s="3" t="s">
        <v>104</v>
      </c>
      <c r="H69" s="3" t="s">
        <v>24</v>
      </c>
      <c r="I69" s="3" t="s">
        <v>58</v>
      </c>
      <c r="J69" s="3" t="s">
        <v>37</v>
      </c>
      <c r="K69" s="3" t="s">
        <v>27</v>
      </c>
      <c r="L69" s="3">
        <v>0.8</v>
      </c>
      <c r="M69" s="3">
        <v>0.77</v>
      </c>
      <c r="N69" s="3" t="s">
        <v>28</v>
      </c>
      <c r="O69" s="3">
        <v>0.81</v>
      </c>
      <c r="P69" s="3" t="s">
        <v>113</v>
      </c>
      <c r="Q69" s="3" t="s">
        <v>93</v>
      </c>
      <c r="R69" s="3" t="s">
        <v>185</v>
      </c>
    </row>
    <row r="70" spans="1:18" ht="58.5" customHeight="1" x14ac:dyDescent="0.35">
      <c r="A70" s="3" t="s">
        <v>186</v>
      </c>
      <c r="B70" s="3" t="s">
        <v>187</v>
      </c>
      <c r="C70" s="3">
        <v>2023</v>
      </c>
      <c r="D70" s="3"/>
      <c r="E70" s="3" t="s">
        <v>67</v>
      </c>
      <c r="F70" s="3" t="s">
        <v>22</v>
      </c>
      <c r="G70" s="3" t="s">
        <v>415</v>
      </c>
      <c r="H70" s="3" t="s">
        <v>24</v>
      </c>
      <c r="I70" s="3" t="s">
        <v>68</v>
      </c>
      <c r="J70" s="3" t="s">
        <v>37</v>
      </c>
      <c r="K70" s="3" t="s">
        <v>27</v>
      </c>
      <c r="L70" s="3">
        <v>0.76</v>
      </c>
      <c r="M70" s="3">
        <v>0.73</v>
      </c>
      <c r="N70" s="3" t="s">
        <v>28</v>
      </c>
      <c r="O70" s="3">
        <v>0.77</v>
      </c>
      <c r="P70" s="3" t="s">
        <v>59</v>
      </c>
      <c r="Q70" s="3" t="s">
        <v>93</v>
      </c>
      <c r="R70" s="3"/>
    </row>
    <row r="71" spans="1:18" ht="60" customHeight="1" x14ac:dyDescent="0.35">
      <c r="A71" s="2" t="s">
        <v>188</v>
      </c>
      <c r="B71" s="2" t="s">
        <v>189</v>
      </c>
      <c r="C71" s="2">
        <v>2018</v>
      </c>
      <c r="D71" s="2" t="s">
        <v>190</v>
      </c>
      <c r="E71" s="2" t="s">
        <v>51</v>
      </c>
      <c r="F71" s="2" t="s">
        <v>22</v>
      </c>
      <c r="G71" s="2" t="s">
        <v>52</v>
      </c>
      <c r="H71" s="2" t="s">
        <v>24</v>
      </c>
      <c r="I71" s="2" t="s">
        <v>58</v>
      </c>
      <c r="J71" s="2" t="s">
        <v>26</v>
      </c>
      <c r="K71" s="2" t="s">
        <v>27</v>
      </c>
      <c r="L71" s="2">
        <v>8.0399999999999991</v>
      </c>
      <c r="M71" s="2">
        <v>6.68</v>
      </c>
      <c r="N71" s="2" t="s">
        <v>28</v>
      </c>
      <c r="O71" s="2">
        <v>6.14</v>
      </c>
      <c r="P71" s="2" t="s">
        <v>191</v>
      </c>
      <c r="Q71" s="2" t="s">
        <v>93</v>
      </c>
      <c r="R71" s="2" t="s">
        <v>192</v>
      </c>
    </row>
    <row r="72" spans="1:18" ht="60" customHeight="1" x14ac:dyDescent="0.35">
      <c r="A72" s="2" t="s">
        <v>188</v>
      </c>
      <c r="B72" s="2" t="s">
        <v>189</v>
      </c>
      <c r="C72" s="2">
        <v>2018</v>
      </c>
      <c r="D72" s="2" t="s">
        <v>190</v>
      </c>
      <c r="E72" s="2" t="s">
        <v>51</v>
      </c>
      <c r="F72" s="2" t="s">
        <v>22</v>
      </c>
      <c r="G72" s="2" t="s">
        <v>52</v>
      </c>
      <c r="H72" s="2" t="s">
        <v>24</v>
      </c>
      <c r="I72" s="2" t="s">
        <v>58</v>
      </c>
      <c r="J72" s="2" t="s">
        <v>32</v>
      </c>
      <c r="K72" s="2" t="s">
        <v>27</v>
      </c>
      <c r="L72" s="2">
        <v>10.42</v>
      </c>
      <c r="M72" s="2">
        <v>8.01</v>
      </c>
      <c r="N72" s="2" t="s">
        <v>28</v>
      </c>
      <c r="O72" s="2">
        <v>7.43</v>
      </c>
      <c r="P72" s="2" t="s">
        <v>191</v>
      </c>
      <c r="Q72" s="2" t="s">
        <v>93</v>
      </c>
      <c r="R72" s="2" t="s">
        <v>192</v>
      </c>
    </row>
    <row r="73" spans="1:18" ht="67.5" customHeight="1" x14ac:dyDescent="0.35">
      <c r="A73" s="2" t="s">
        <v>193</v>
      </c>
      <c r="B73" s="2" t="s">
        <v>194</v>
      </c>
      <c r="C73" s="2">
        <v>2023</v>
      </c>
      <c r="D73" s="2" t="s">
        <v>195</v>
      </c>
      <c r="E73" s="2" t="s">
        <v>79</v>
      </c>
      <c r="F73" s="2" t="s">
        <v>22</v>
      </c>
      <c r="G73" s="2" t="s">
        <v>52</v>
      </c>
      <c r="H73" s="2" t="s">
        <v>24</v>
      </c>
      <c r="I73" s="2" t="s">
        <v>58</v>
      </c>
      <c r="J73" s="2" t="s">
        <v>26</v>
      </c>
      <c r="K73" s="2" t="s">
        <v>27</v>
      </c>
      <c r="L73" s="2">
        <v>7.14</v>
      </c>
      <c r="M73" s="2">
        <v>7.32</v>
      </c>
      <c r="N73" s="2" t="s">
        <v>28</v>
      </c>
      <c r="O73" s="2">
        <v>6.14</v>
      </c>
      <c r="P73" s="2" t="s">
        <v>196</v>
      </c>
      <c r="Q73" s="2" t="s">
        <v>93</v>
      </c>
      <c r="R73" s="2"/>
    </row>
    <row r="74" spans="1:18" ht="67.5" customHeight="1" x14ac:dyDescent="0.35">
      <c r="A74" s="2" t="s">
        <v>193</v>
      </c>
      <c r="B74" s="2" t="s">
        <v>194</v>
      </c>
      <c r="C74" s="2">
        <v>2023</v>
      </c>
      <c r="D74" s="2" t="s">
        <v>195</v>
      </c>
      <c r="E74" s="2" t="s">
        <v>79</v>
      </c>
      <c r="F74" s="2" t="s">
        <v>22</v>
      </c>
      <c r="G74" s="2" t="s">
        <v>52</v>
      </c>
      <c r="H74" s="2" t="s">
        <v>24</v>
      </c>
      <c r="I74" s="2" t="s">
        <v>58</v>
      </c>
      <c r="J74" s="2" t="s">
        <v>32</v>
      </c>
      <c r="K74" s="2" t="s">
        <v>27</v>
      </c>
      <c r="L74" s="2">
        <v>9.5</v>
      </c>
      <c r="M74" s="2">
        <v>8.9700000000000006</v>
      </c>
      <c r="N74" s="2" t="s">
        <v>28</v>
      </c>
      <c r="O74" s="2">
        <v>8.16</v>
      </c>
      <c r="P74" s="2" t="s">
        <v>196</v>
      </c>
      <c r="Q74" s="2" t="s">
        <v>93</v>
      </c>
      <c r="R74" s="2"/>
    </row>
    <row r="75" spans="1:18" ht="72.75" customHeight="1" x14ac:dyDescent="0.35">
      <c r="A75" s="3" t="s">
        <v>193</v>
      </c>
      <c r="B75" s="3" t="s">
        <v>194</v>
      </c>
      <c r="C75" s="3">
        <v>2023</v>
      </c>
      <c r="D75" s="3" t="s">
        <v>195</v>
      </c>
      <c r="E75" s="3" t="s">
        <v>51</v>
      </c>
      <c r="F75" s="3" t="s">
        <v>22</v>
      </c>
      <c r="G75" s="3" t="s">
        <v>52</v>
      </c>
      <c r="H75" s="3" t="s">
        <v>24</v>
      </c>
      <c r="I75" s="3" t="s">
        <v>58</v>
      </c>
      <c r="J75" s="3" t="s">
        <v>26</v>
      </c>
      <c r="K75" s="3" t="s">
        <v>27</v>
      </c>
      <c r="L75" s="3">
        <v>7.86</v>
      </c>
      <c r="M75" s="3">
        <v>6.72</v>
      </c>
      <c r="N75" s="3" t="s">
        <v>28</v>
      </c>
      <c r="O75" s="3">
        <v>5.61</v>
      </c>
      <c r="P75" s="3" t="s">
        <v>197</v>
      </c>
      <c r="Q75" s="3" t="s">
        <v>93</v>
      </c>
      <c r="R75" s="3"/>
    </row>
    <row r="76" spans="1:18" ht="72.75" customHeight="1" x14ac:dyDescent="0.35">
      <c r="A76" s="3" t="s">
        <v>193</v>
      </c>
      <c r="B76" s="3" t="s">
        <v>194</v>
      </c>
      <c r="C76" s="3">
        <v>2023</v>
      </c>
      <c r="D76" s="3" t="s">
        <v>195</v>
      </c>
      <c r="E76" s="3" t="s">
        <v>51</v>
      </c>
      <c r="F76" s="3" t="s">
        <v>22</v>
      </c>
      <c r="G76" s="3" t="s">
        <v>52</v>
      </c>
      <c r="H76" s="3" t="s">
        <v>24</v>
      </c>
      <c r="I76" s="3" t="s">
        <v>58</v>
      </c>
      <c r="J76" s="3" t="s">
        <v>32</v>
      </c>
      <c r="K76" s="3" t="s">
        <v>27</v>
      </c>
      <c r="L76" s="3">
        <v>9.25</v>
      </c>
      <c r="M76" s="3">
        <v>8.81</v>
      </c>
      <c r="N76" s="3" t="s">
        <v>28</v>
      </c>
      <c r="O76" s="3">
        <v>7.2</v>
      </c>
      <c r="P76" s="3" t="s">
        <v>197</v>
      </c>
      <c r="Q76" s="3" t="s">
        <v>93</v>
      </c>
      <c r="R76" s="3"/>
    </row>
    <row r="77" spans="1:18" ht="120.75" customHeight="1" x14ac:dyDescent="0.35">
      <c r="A77" s="3" t="s">
        <v>198</v>
      </c>
      <c r="B77" s="3" t="s">
        <v>199</v>
      </c>
      <c r="C77" s="3">
        <v>2023</v>
      </c>
      <c r="D77" s="3" t="s">
        <v>200</v>
      </c>
      <c r="E77" s="3" t="s">
        <v>56</v>
      </c>
      <c r="F77" s="3" t="s">
        <v>22</v>
      </c>
      <c r="G77" s="3" t="s">
        <v>167</v>
      </c>
      <c r="H77" s="3" t="s">
        <v>43</v>
      </c>
      <c r="I77" s="3" t="s">
        <v>25</v>
      </c>
      <c r="J77" s="3" t="s">
        <v>37</v>
      </c>
      <c r="K77" s="3" t="s">
        <v>44</v>
      </c>
      <c r="L77" s="3">
        <v>0.91</v>
      </c>
      <c r="M77" s="3"/>
      <c r="N77" s="3" t="s">
        <v>45</v>
      </c>
      <c r="O77" s="3">
        <v>0.91</v>
      </c>
      <c r="P77" s="3" t="s">
        <v>163</v>
      </c>
      <c r="Q77" s="3" t="s">
        <v>100</v>
      </c>
      <c r="R77" s="3" t="s">
        <v>201</v>
      </c>
    </row>
    <row r="78" spans="1:18" ht="40.5" customHeight="1" x14ac:dyDescent="0.35">
      <c r="A78" s="2" t="s">
        <v>198</v>
      </c>
      <c r="B78" s="2" t="s">
        <v>199</v>
      </c>
      <c r="C78" s="2">
        <v>2023</v>
      </c>
      <c r="D78" s="2" t="s">
        <v>200</v>
      </c>
      <c r="E78" s="2" t="s">
        <v>56</v>
      </c>
      <c r="F78" s="2" t="s">
        <v>22</v>
      </c>
      <c r="G78" s="2" t="s">
        <v>167</v>
      </c>
      <c r="H78" s="2" t="s">
        <v>43</v>
      </c>
      <c r="I78" s="2" t="s">
        <v>25</v>
      </c>
      <c r="J78" s="2" t="s">
        <v>26</v>
      </c>
      <c r="K78" s="2" t="s">
        <v>44</v>
      </c>
      <c r="L78" s="2">
        <v>3.66</v>
      </c>
      <c r="M78" s="2"/>
      <c r="N78" s="2" t="s">
        <v>45</v>
      </c>
      <c r="O78" s="2">
        <v>4.32</v>
      </c>
      <c r="P78" s="2" t="s">
        <v>176</v>
      </c>
      <c r="Q78" s="2" t="s">
        <v>100</v>
      </c>
      <c r="R78" s="2" t="s">
        <v>201</v>
      </c>
    </row>
    <row r="79" spans="1:18" ht="55.5" customHeight="1" x14ac:dyDescent="0.35">
      <c r="A79" s="2" t="s">
        <v>198</v>
      </c>
      <c r="B79" s="2" t="s">
        <v>199</v>
      </c>
      <c r="C79" s="2">
        <v>2023</v>
      </c>
      <c r="D79" s="2" t="s">
        <v>200</v>
      </c>
      <c r="E79" s="2" t="s">
        <v>56</v>
      </c>
      <c r="F79" s="2" t="s">
        <v>22</v>
      </c>
      <c r="G79" s="2" t="s">
        <v>167</v>
      </c>
      <c r="H79" s="2" t="s">
        <v>43</v>
      </c>
      <c r="I79" s="2" t="s">
        <v>25</v>
      </c>
      <c r="J79" s="2" t="s">
        <v>32</v>
      </c>
      <c r="K79" s="2" t="s">
        <v>44</v>
      </c>
      <c r="L79" s="2">
        <v>4.59</v>
      </c>
      <c r="M79" s="2"/>
      <c r="N79" s="2" t="s">
        <v>45</v>
      </c>
      <c r="O79" s="2">
        <v>5.61</v>
      </c>
      <c r="P79" s="2" t="s">
        <v>176</v>
      </c>
      <c r="Q79" s="2" t="s">
        <v>100</v>
      </c>
      <c r="R79" s="2" t="s">
        <v>201</v>
      </c>
    </row>
    <row r="80" spans="1:18" ht="69.75" customHeight="1" x14ac:dyDescent="0.35">
      <c r="A80" s="3" t="s">
        <v>202</v>
      </c>
      <c r="B80" s="3" t="s">
        <v>203</v>
      </c>
      <c r="C80" s="3">
        <v>2022</v>
      </c>
      <c r="D80" s="3" t="s">
        <v>204</v>
      </c>
      <c r="E80" s="3" t="s">
        <v>21</v>
      </c>
      <c r="F80" s="3" t="s">
        <v>22</v>
      </c>
      <c r="G80" s="3" t="s">
        <v>23</v>
      </c>
      <c r="H80" s="3" t="s">
        <v>24</v>
      </c>
      <c r="I80" s="3" t="s">
        <v>25</v>
      </c>
      <c r="J80" s="3" t="s">
        <v>37</v>
      </c>
      <c r="K80" s="3" t="s">
        <v>27</v>
      </c>
      <c r="L80" s="3">
        <v>0.65</v>
      </c>
      <c r="M80" s="3"/>
      <c r="N80" s="3" t="s">
        <v>28</v>
      </c>
      <c r="O80" s="3">
        <v>0.76</v>
      </c>
      <c r="P80" s="3" t="s">
        <v>205</v>
      </c>
      <c r="Q80" s="3" t="s">
        <v>93</v>
      </c>
      <c r="R80" s="3" t="s">
        <v>206</v>
      </c>
    </row>
    <row r="81" spans="1:18" ht="69.75" customHeight="1" x14ac:dyDescent="0.35">
      <c r="A81" s="3" t="s">
        <v>202</v>
      </c>
      <c r="B81" s="3" t="s">
        <v>203</v>
      </c>
      <c r="C81" s="3">
        <v>2022</v>
      </c>
      <c r="D81" s="3" t="s">
        <v>204</v>
      </c>
      <c r="E81" s="3" t="s">
        <v>21</v>
      </c>
      <c r="F81" s="3" t="s">
        <v>22</v>
      </c>
      <c r="G81" s="3" t="s">
        <v>23</v>
      </c>
      <c r="H81" s="3" t="s">
        <v>24</v>
      </c>
      <c r="I81" s="3" t="s">
        <v>25</v>
      </c>
      <c r="J81" s="3" t="s">
        <v>39</v>
      </c>
      <c r="K81" s="3" t="s">
        <v>27</v>
      </c>
      <c r="L81" s="3">
        <v>71.180000000000007</v>
      </c>
      <c r="M81" s="3"/>
      <c r="N81" s="3" t="s">
        <v>28</v>
      </c>
      <c r="O81" s="3">
        <v>78.97</v>
      </c>
      <c r="P81" s="3" t="s">
        <v>205</v>
      </c>
      <c r="Q81" s="3" t="s">
        <v>93</v>
      </c>
      <c r="R81" s="3" t="s">
        <v>207</v>
      </c>
    </row>
    <row r="82" spans="1:18" ht="144" customHeight="1" x14ac:dyDescent="0.35">
      <c r="A82" s="2" t="s">
        <v>208</v>
      </c>
      <c r="B82" s="2" t="s">
        <v>209</v>
      </c>
      <c r="C82" s="2">
        <v>2022</v>
      </c>
      <c r="D82" s="2" t="s">
        <v>210</v>
      </c>
      <c r="E82" s="2" t="s">
        <v>33</v>
      </c>
      <c r="F82" s="2" t="s">
        <v>22</v>
      </c>
      <c r="G82" s="2" t="s">
        <v>23</v>
      </c>
      <c r="H82" s="2" t="s">
        <v>43</v>
      </c>
      <c r="I82" s="2" t="s">
        <v>25</v>
      </c>
      <c r="J82" s="2" t="s">
        <v>26</v>
      </c>
      <c r="K82" s="2" t="s">
        <v>44</v>
      </c>
      <c r="L82" s="2">
        <v>3.35</v>
      </c>
      <c r="M82" s="2">
        <v>4.72</v>
      </c>
      <c r="N82" s="2" t="s">
        <v>45</v>
      </c>
      <c r="O82" s="2">
        <v>3.05</v>
      </c>
      <c r="P82" s="2" t="s">
        <v>211</v>
      </c>
      <c r="Q82" s="2" t="s">
        <v>100</v>
      </c>
      <c r="R82" s="2"/>
    </row>
    <row r="83" spans="1:18" ht="144" customHeight="1" x14ac:dyDescent="0.35">
      <c r="A83" s="2" t="s">
        <v>208</v>
      </c>
      <c r="B83" s="2" t="s">
        <v>209</v>
      </c>
      <c r="C83" s="2">
        <v>2022</v>
      </c>
      <c r="D83" s="2" t="s">
        <v>210</v>
      </c>
      <c r="E83" s="2" t="s">
        <v>33</v>
      </c>
      <c r="F83" s="2" t="s">
        <v>22</v>
      </c>
      <c r="G83" s="2" t="s">
        <v>23</v>
      </c>
      <c r="H83" s="2" t="s">
        <v>43</v>
      </c>
      <c r="I83" s="2" t="s">
        <v>25</v>
      </c>
      <c r="J83" s="2" t="s">
        <v>32</v>
      </c>
      <c r="K83" s="2" t="s">
        <v>44</v>
      </c>
      <c r="L83" s="2">
        <v>4.55</v>
      </c>
      <c r="M83" s="2">
        <v>5.79</v>
      </c>
      <c r="N83" s="2" t="s">
        <v>45</v>
      </c>
      <c r="O83" s="2">
        <v>4.03</v>
      </c>
      <c r="P83" s="2" t="s">
        <v>211</v>
      </c>
      <c r="Q83" s="2" t="s">
        <v>100</v>
      </c>
      <c r="R83" s="2"/>
    </row>
    <row r="84" spans="1:18" ht="80.25" customHeight="1" x14ac:dyDescent="0.35">
      <c r="A84" s="3" t="s">
        <v>212</v>
      </c>
      <c r="B84" s="3" t="s">
        <v>213</v>
      </c>
      <c r="C84" s="3">
        <v>2022</v>
      </c>
      <c r="D84" s="3" t="s">
        <v>214</v>
      </c>
      <c r="E84" s="3" t="s">
        <v>56</v>
      </c>
      <c r="F84" s="3" t="s">
        <v>215</v>
      </c>
      <c r="G84" s="3" t="s">
        <v>133</v>
      </c>
      <c r="H84" s="3" t="s">
        <v>24</v>
      </c>
      <c r="I84" s="3" t="s">
        <v>25</v>
      </c>
      <c r="J84" s="3" t="s">
        <v>37</v>
      </c>
      <c r="K84" s="3" t="s">
        <v>27</v>
      </c>
      <c r="L84" s="3">
        <v>0.8</v>
      </c>
      <c r="M84" s="3">
        <v>0.8</v>
      </c>
      <c r="N84" s="3" t="s">
        <v>28</v>
      </c>
      <c r="O84" s="3">
        <v>0.8</v>
      </c>
      <c r="P84" s="3" t="s">
        <v>117</v>
      </c>
      <c r="Q84" s="3" t="s">
        <v>93</v>
      </c>
      <c r="R84" s="3"/>
    </row>
    <row r="85" spans="1:18" ht="80.25" customHeight="1" x14ac:dyDescent="0.35">
      <c r="A85" s="3" t="s">
        <v>212</v>
      </c>
      <c r="B85" s="3" t="s">
        <v>213</v>
      </c>
      <c r="C85" s="3">
        <v>2022</v>
      </c>
      <c r="D85" s="3" t="s">
        <v>214</v>
      </c>
      <c r="E85" s="3" t="s">
        <v>56</v>
      </c>
      <c r="F85" s="3" t="s">
        <v>216</v>
      </c>
      <c r="G85" s="3" t="s">
        <v>133</v>
      </c>
      <c r="H85" s="3" t="s">
        <v>24</v>
      </c>
      <c r="I85" s="3" t="s">
        <v>25</v>
      </c>
      <c r="J85" s="3" t="s">
        <v>37</v>
      </c>
      <c r="K85" s="3" t="s">
        <v>27</v>
      </c>
      <c r="L85" s="3">
        <v>0.46</v>
      </c>
      <c r="M85" s="3">
        <v>0.56000000000000005</v>
      </c>
      <c r="N85" s="3" t="s">
        <v>28</v>
      </c>
      <c r="O85" s="3">
        <v>0.56000000000000005</v>
      </c>
      <c r="P85" s="3" t="s">
        <v>117</v>
      </c>
      <c r="Q85" s="3" t="s">
        <v>93</v>
      </c>
      <c r="R85" s="3"/>
    </row>
    <row r="86" spans="1:18" ht="116.25" customHeight="1" x14ac:dyDescent="0.35">
      <c r="A86" s="3" t="s">
        <v>217</v>
      </c>
      <c r="B86" s="3" t="s">
        <v>218</v>
      </c>
      <c r="C86" s="3">
        <v>2022</v>
      </c>
      <c r="D86" s="3" t="s">
        <v>219</v>
      </c>
      <c r="E86" s="3" t="s">
        <v>56</v>
      </c>
      <c r="F86" s="3" t="s">
        <v>220</v>
      </c>
      <c r="G86" s="3" t="s">
        <v>85</v>
      </c>
      <c r="H86" s="3" t="s">
        <v>86</v>
      </c>
      <c r="I86" s="3" t="s">
        <v>25</v>
      </c>
      <c r="J86" s="3" t="s">
        <v>39</v>
      </c>
      <c r="K86" s="3" t="s">
        <v>221</v>
      </c>
      <c r="L86" s="3">
        <v>64.94</v>
      </c>
      <c r="M86" s="3">
        <v>71.86</v>
      </c>
      <c r="N86" s="3" t="s">
        <v>222</v>
      </c>
      <c r="O86" s="3">
        <v>73.489999999999995</v>
      </c>
      <c r="P86" s="3" t="s">
        <v>223</v>
      </c>
      <c r="Q86" s="3" t="s">
        <v>100</v>
      </c>
      <c r="R86" s="3"/>
    </row>
    <row r="87" spans="1:18" ht="93.75" customHeight="1" x14ac:dyDescent="0.35">
      <c r="A87" s="3" t="s">
        <v>224</v>
      </c>
      <c r="B87" s="3" t="s">
        <v>225</v>
      </c>
      <c r="C87" s="3">
        <v>2021</v>
      </c>
      <c r="D87" s="3" t="s">
        <v>226</v>
      </c>
      <c r="E87" s="3" t="s">
        <v>21</v>
      </c>
      <c r="F87" s="3" t="s">
        <v>22</v>
      </c>
      <c r="G87" s="3" t="s">
        <v>23</v>
      </c>
      <c r="H87" s="3" t="s">
        <v>24</v>
      </c>
      <c r="I87" s="3" t="s">
        <v>68</v>
      </c>
      <c r="J87" s="3" t="s">
        <v>32</v>
      </c>
      <c r="K87" s="3" t="s">
        <v>27</v>
      </c>
      <c r="L87" s="3">
        <v>5.633</v>
      </c>
      <c r="M87" s="3">
        <v>5.3890000000000002</v>
      </c>
      <c r="N87" s="3" t="s">
        <v>28</v>
      </c>
      <c r="O87" s="3">
        <v>5.2720000000000002</v>
      </c>
      <c r="P87" s="3" t="s">
        <v>197</v>
      </c>
      <c r="Q87" s="3" t="s">
        <v>93</v>
      </c>
      <c r="R87" s="3" t="s">
        <v>227</v>
      </c>
    </row>
    <row r="88" spans="1:18" ht="110.25" customHeight="1" x14ac:dyDescent="0.35">
      <c r="A88" s="2" t="s">
        <v>224</v>
      </c>
      <c r="B88" s="2" t="s">
        <v>225</v>
      </c>
      <c r="C88" s="2">
        <v>2021</v>
      </c>
      <c r="D88" s="2" t="s">
        <v>226</v>
      </c>
      <c r="E88" s="2" t="s">
        <v>21</v>
      </c>
      <c r="F88" s="2" t="s">
        <v>22</v>
      </c>
      <c r="G88" s="2" t="s">
        <v>23</v>
      </c>
      <c r="H88" s="2" t="s">
        <v>24</v>
      </c>
      <c r="I88" s="2" t="s">
        <v>68</v>
      </c>
      <c r="J88" s="2" t="s">
        <v>26</v>
      </c>
      <c r="K88" s="2" t="s">
        <v>27</v>
      </c>
      <c r="L88" s="2">
        <v>4.83</v>
      </c>
      <c r="M88" s="2">
        <v>4.7149999999999999</v>
      </c>
      <c r="N88" s="2" t="s">
        <v>28</v>
      </c>
      <c r="O88" s="2">
        <v>4.5730000000000004</v>
      </c>
      <c r="P88" s="2" t="s">
        <v>197</v>
      </c>
      <c r="Q88" s="2" t="s">
        <v>93</v>
      </c>
      <c r="R88" s="2" t="s">
        <v>227</v>
      </c>
    </row>
    <row r="89" spans="1:18" ht="87" customHeight="1" x14ac:dyDescent="0.35">
      <c r="A89" s="3" t="s">
        <v>228</v>
      </c>
      <c r="B89" s="3" t="s">
        <v>229</v>
      </c>
      <c r="C89" s="3">
        <v>2021</v>
      </c>
      <c r="D89" s="3" t="s">
        <v>230</v>
      </c>
      <c r="E89" s="3" t="s">
        <v>56</v>
      </c>
      <c r="F89" s="3" t="s">
        <v>231</v>
      </c>
      <c r="G89" s="3" t="s">
        <v>421</v>
      </c>
      <c r="H89" s="3" t="s">
        <v>232</v>
      </c>
      <c r="I89" s="3" t="s">
        <v>233</v>
      </c>
      <c r="J89" s="3" t="s">
        <v>234</v>
      </c>
      <c r="K89" s="3" t="s">
        <v>235</v>
      </c>
      <c r="L89" s="3">
        <v>0.29399999999999998</v>
      </c>
      <c r="M89" s="3">
        <v>0.109</v>
      </c>
      <c r="N89" s="3" t="s">
        <v>236</v>
      </c>
      <c r="O89" s="3">
        <v>0.31</v>
      </c>
      <c r="P89" s="3" t="s">
        <v>59</v>
      </c>
      <c r="Q89" s="3" t="s">
        <v>93</v>
      </c>
      <c r="R89" s="3" t="s">
        <v>237</v>
      </c>
    </row>
    <row r="90" spans="1:18" ht="63" customHeight="1" x14ac:dyDescent="0.35">
      <c r="A90" s="2" t="s">
        <v>228</v>
      </c>
      <c r="B90" s="2" t="s">
        <v>229</v>
      </c>
      <c r="C90" s="2">
        <v>2021</v>
      </c>
      <c r="D90" s="2" t="s">
        <v>230</v>
      </c>
      <c r="E90" s="2" t="s">
        <v>56</v>
      </c>
      <c r="F90" s="2" t="s">
        <v>238</v>
      </c>
      <c r="G90" s="2" t="s">
        <v>421</v>
      </c>
      <c r="H90" s="2" t="s">
        <v>232</v>
      </c>
      <c r="I90" s="2" t="s">
        <v>239</v>
      </c>
      <c r="J90" s="2" t="s">
        <v>234</v>
      </c>
      <c r="K90" s="2" t="s">
        <v>235</v>
      </c>
      <c r="L90" s="2">
        <v>0.38600000000000001</v>
      </c>
      <c r="M90" s="2">
        <v>3.1E-2</v>
      </c>
      <c r="N90" s="2" t="s">
        <v>236</v>
      </c>
      <c r="O90" s="2">
        <v>0.3</v>
      </c>
      <c r="P90" s="2" t="s">
        <v>59</v>
      </c>
      <c r="Q90" s="2" t="s">
        <v>93</v>
      </c>
      <c r="R90" s="2" t="s">
        <v>237</v>
      </c>
    </row>
    <row r="91" spans="1:18" ht="61.5" customHeight="1" x14ac:dyDescent="0.35">
      <c r="A91" s="3" t="s">
        <v>228</v>
      </c>
      <c r="B91" s="3" t="s">
        <v>229</v>
      </c>
      <c r="C91" s="3">
        <v>2021</v>
      </c>
      <c r="D91" s="3" t="s">
        <v>230</v>
      </c>
      <c r="E91" s="3" t="s">
        <v>56</v>
      </c>
      <c r="F91" s="3" t="s">
        <v>240</v>
      </c>
      <c r="G91" s="3" t="s">
        <v>421</v>
      </c>
      <c r="H91" s="3" t="s">
        <v>232</v>
      </c>
      <c r="I91" s="3" t="s">
        <v>233</v>
      </c>
      <c r="J91" s="3" t="s">
        <v>234</v>
      </c>
      <c r="K91" s="3" t="s">
        <v>235</v>
      </c>
      <c r="L91" s="3">
        <v>0.308</v>
      </c>
      <c r="M91" s="3">
        <v>0.34</v>
      </c>
      <c r="N91" s="3" t="s">
        <v>236</v>
      </c>
      <c r="O91" s="3">
        <v>0.43</v>
      </c>
      <c r="P91" s="3" t="s">
        <v>59</v>
      </c>
      <c r="Q91" s="3" t="s">
        <v>93</v>
      </c>
      <c r="R91" s="3" t="s">
        <v>237</v>
      </c>
    </row>
    <row r="92" spans="1:18" ht="64.5" customHeight="1" x14ac:dyDescent="0.35">
      <c r="A92" s="2" t="s">
        <v>228</v>
      </c>
      <c r="B92" s="2" t="s">
        <v>229</v>
      </c>
      <c r="C92" s="2">
        <v>2021</v>
      </c>
      <c r="D92" s="2" t="s">
        <v>230</v>
      </c>
      <c r="E92" s="2" t="s">
        <v>56</v>
      </c>
      <c r="F92" s="2" t="s">
        <v>241</v>
      </c>
      <c r="G92" s="2" t="s">
        <v>421</v>
      </c>
      <c r="H92" s="2" t="s">
        <v>232</v>
      </c>
      <c r="I92" s="2" t="s">
        <v>233</v>
      </c>
      <c r="J92" s="2" t="s">
        <v>234</v>
      </c>
      <c r="K92" s="2" t="s">
        <v>235</v>
      </c>
      <c r="L92" s="2">
        <v>0.192</v>
      </c>
      <c r="M92" s="2">
        <v>0.11799999999999999</v>
      </c>
      <c r="N92" s="2" t="s">
        <v>236</v>
      </c>
      <c r="O92" s="2">
        <v>0.22700000000000001</v>
      </c>
      <c r="P92" s="2" t="s">
        <v>59</v>
      </c>
      <c r="Q92" s="2" t="s">
        <v>93</v>
      </c>
      <c r="R92" s="2" t="s">
        <v>237</v>
      </c>
    </row>
    <row r="93" spans="1:18" ht="64.5" customHeight="1" x14ac:dyDescent="0.35">
      <c r="A93" s="2" t="s">
        <v>242</v>
      </c>
      <c r="B93" s="2" t="s">
        <v>243</v>
      </c>
      <c r="C93" s="2">
        <v>2020</v>
      </c>
      <c r="D93" s="2" t="s">
        <v>244</v>
      </c>
      <c r="E93" s="2" t="s">
        <v>56</v>
      </c>
      <c r="F93" s="2" t="s">
        <v>22</v>
      </c>
      <c r="G93" s="2" t="s">
        <v>23</v>
      </c>
      <c r="H93" s="2" t="s">
        <v>245</v>
      </c>
      <c r="I93" s="2" t="s">
        <v>25</v>
      </c>
      <c r="J93" s="2" t="s">
        <v>37</v>
      </c>
      <c r="K93" s="2" t="s">
        <v>221</v>
      </c>
      <c r="L93" s="2">
        <v>0.54</v>
      </c>
      <c r="M93" s="2">
        <v>0.55000000000000004</v>
      </c>
      <c r="N93" s="2" t="s">
        <v>222</v>
      </c>
      <c r="O93" s="2">
        <v>0.73629999999999995</v>
      </c>
      <c r="P93" s="2" t="s">
        <v>246</v>
      </c>
      <c r="Q93" s="2" t="s">
        <v>100</v>
      </c>
      <c r="R93" s="2" t="s">
        <v>247</v>
      </c>
    </row>
    <row r="94" spans="1:18" ht="64.5" customHeight="1" x14ac:dyDescent="0.35">
      <c r="A94" s="2" t="s">
        <v>242</v>
      </c>
      <c r="B94" s="2" t="s">
        <v>243</v>
      </c>
      <c r="C94" s="2">
        <v>2020</v>
      </c>
      <c r="D94" s="2" t="s">
        <v>244</v>
      </c>
      <c r="E94" s="2" t="s">
        <v>56</v>
      </c>
      <c r="F94" s="2" t="s">
        <v>157</v>
      </c>
      <c r="G94" s="2" t="s">
        <v>420</v>
      </c>
      <c r="H94" s="2" t="s">
        <v>245</v>
      </c>
      <c r="I94" s="2" t="s">
        <v>25</v>
      </c>
      <c r="J94" s="2" t="s">
        <v>37</v>
      </c>
      <c r="K94" s="2" t="s">
        <v>221</v>
      </c>
      <c r="L94" s="2">
        <v>0.57999999999999996</v>
      </c>
      <c r="M94" s="2">
        <v>0.56000000000000005</v>
      </c>
      <c r="N94" s="2" t="s">
        <v>222</v>
      </c>
      <c r="O94" s="2">
        <v>0.70599999999999996</v>
      </c>
      <c r="P94" s="2" t="s">
        <v>246</v>
      </c>
      <c r="Q94" s="2" t="s">
        <v>100</v>
      </c>
      <c r="R94" s="2" t="s">
        <v>247</v>
      </c>
    </row>
    <row r="95" spans="1:18" ht="36" customHeight="1" x14ac:dyDescent="0.35">
      <c r="A95" s="3" t="s">
        <v>248</v>
      </c>
      <c r="B95" s="3" t="s">
        <v>249</v>
      </c>
      <c r="C95" s="3">
        <v>2020</v>
      </c>
      <c r="D95" s="3" t="s">
        <v>250</v>
      </c>
      <c r="E95" s="3" t="s">
        <v>56</v>
      </c>
      <c r="F95" s="3" t="s">
        <v>251</v>
      </c>
      <c r="G95" s="3" t="s">
        <v>418</v>
      </c>
      <c r="H95" s="3" t="s">
        <v>24</v>
      </c>
      <c r="I95" s="3" t="s">
        <v>25</v>
      </c>
      <c r="J95" s="3" t="s">
        <v>252</v>
      </c>
      <c r="K95" s="3" t="s">
        <v>27</v>
      </c>
      <c r="L95" s="3">
        <v>0.77</v>
      </c>
      <c r="M95" s="3">
        <v>0.74</v>
      </c>
      <c r="N95" s="3" t="s">
        <v>28</v>
      </c>
      <c r="O95" s="3">
        <v>0.78</v>
      </c>
      <c r="P95" s="3" t="s">
        <v>253</v>
      </c>
      <c r="Q95" s="3" t="s">
        <v>93</v>
      </c>
      <c r="R95" s="3" t="s">
        <v>254</v>
      </c>
    </row>
    <row r="96" spans="1:18" ht="54" customHeight="1" x14ac:dyDescent="0.35">
      <c r="A96" s="2" t="s">
        <v>255</v>
      </c>
      <c r="B96" s="2" t="s">
        <v>256</v>
      </c>
      <c r="C96" s="2">
        <v>2016</v>
      </c>
      <c r="D96" s="2" t="s">
        <v>257</v>
      </c>
      <c r="E96" s="2" t="s">
        <v>21</v>
      </c>
      <c r="F96" s="2" t="s">
        <v>22</v>
      </c>
      <c r="G96" s="2" t="s">
        <v>23</v>
      </c>
      <c r="H96" s="2" t="s">
        <v>24</v>
      </c>
      <c r="I96" s="2" t="s">
        <v>25</v>
      </c>
      <c r="J96" s="2" t="s">
        <v>37</v>
      </c>
      <c r="K96" s="2" t="s">
        <v>27</v>
      </c>
      <c r="L96" s="2">
        <f>(0.52+0.81)/2</f>
        <v>0.66500000000000004</v>
      </c>
      <c r="M96" s="2">
        <f>(0.18+0.75)/2</f>
        <v>0.46499999999999997</v>
      </c>
      <c r="N96" s="2" t="s">
        <v>28</v>
      </c>
      <c r="O96" s="2">
        <f>(0.43+0.63)/2</f>
        <v>0.53</v>
      </c>
      <c r="P96" s="2" t="s">
        <v>117</v>
      </c>
      <c r="Q96" s="2" t="s">
        <v>93</v>
      </c>
      <c r="R96" s="2" t="s">
        <v>258</v>
      </c>
    </row>
    <row r="97" spans="1:18" ht="37.5" customHeight="1" x14ac:dyDescent="0.35">
      <c r="A97" s="3" t="s">
        <v>259</v>
      </c>
      <c r="B97" s="3" t="s">
        <v>260</v>
      </c>
      <c r="C97" s="3">
        <v>2025</v>
      </c>
      <c r="D97" s="3" t="s">
        <v>261</v>
      </c>
      <c r="E97" s="3" t="s">
        <v>21</v>
      </c>
      <c r="F97" s="3" t="s">
        <v>22</v>
      </c>
      <c r="G97" s="3" t="s">
        <v>23</v>
      </c>
      <c r="H97" s="3" t="s">
        <v>43</v>
      </c>
      <c r="I97" s="3" t="s">
        <v>25</v>
      </c>
      <c r="J97" s="3" t="s">
        <v>26</v>
      </c>
      <c r="K97" s="3" t="s">
        <v>44</v>
      </c>
      <c r="L97" s="3">
        <v>3.29</v>
      </c>
      <c r="M97" s="3">
        <v>4.07</v>
      </c>
      <c r="N97" s="3" t="s">
        <v>45</v>
      </c>
      <c r="O97" s="3">
        <v>3.11</v>
      </c>
      <c r="P97" s="3" t="s">
        <v>196</v>
      </c>
      <c r="Q97" s="3" t="s">
        <v>100</v>
      </c>
      <c r="R97" s="3"/>
    </row>
    <row r="98" spans="1:18" ht="25.5" customHeight="1" x14ac:dyDescent="0.35">
      <c r="A98" s="2" t="s">
        <v>259</v>
      </c>
      <c r="B98" s="2" t="s">
        <v>260</v>
      </c>
      <c r="C98" s="2">
        <v>2025</v>
      </c>
      <c r="D98" s="2" t="s">
        <v>261</v>
      </c>
      <c r="E98" s="2" t="s">
        <v>21</v>
      </c>
      <c r="F98" s="2" t="s">
        <v>22</v>
      </c>
      <c r="G98" s="2" t="s">
        <v>23</v>
      </c>
      <c r="H98" s="2" t="s">
        <v>43</v>
      </c>
      <c r="I98" s="2" t="s">
        <v>25</v>
      </c>
      <c r="J98" s="2" t="s">
        <v>32</v>
      </c>
      <c r="K98" s="2" t="s">
        <v>44</v>
      </c>
      <c r="L98" s="2">
        <v>4.53</v>
      </c>
      <c r="M98" s="2">
        <v>5.26</v>
      </c>
      <c r="N98" s="2" t="s">
        <v>45</v>
      </c>
      <c r="O98" s="2">
        <v>3.66</v>
      </c>
      <c r="P98" s="2" t="s">
        <v>196</v>
      </c>
      <c r="Q98" s="2" t="s">
        <v>100</v>
      </c>
      <c r="R98" s="2"/>
    </row>
    <row r="99" spans="1:18" ht="25.5" customHeight="1" x14ac:dyDescent="0.35">
      <c r="A99" s="3" t="s">
        <v>259</v>
      </c>
      <c r="B99" s="3" t="s">
        <v>260</v>
      </c>
      <c r="C99" s="3">
        <v>2025</v>
      </c>
      <c r="D99" s="3" t="s">
        <v>261</v>
      </c>
      <c r="E99" s="3" t="s">
        <v>21</v>
      </c>
      <c r="F99" s="3" t="s">
        <v>22</v>
      </c>
      <c r="G99" s="3" t="s">
        <v>23</v>
      </c>
      <c r="H99" s="3" t="s">
        <v>43</v>
      </c>
      <c r="I99" s="3" t="s">
        <v>25</v>
      </c>
      <c r="J99" s="3" t="s">
        <v>37</v>
      </c>
      <c r="K99" s="3" t="s">
        <v>44</v>
      </c>
      <c r="L99" s="3">
        <v>0.88</v>
      </c>
      <c r="M99" s="3">
        <v>0.79</v>
      </c>
      <c r="N99" s="3" t="s">
        <v>45</v>
      </c>
      <c r="O99" s="3">
        <v>0.93</v>
      </c>
      <c r="P99" s="3" t="s">
        <v>196</v>
      </c>
      <c r="Q99" s="3" t="s">
        <v>100</v>
      </c>
      <c r="R99" s="3"/>
    </row>
    <row r="100" spans="1:18" ht="25.5" customHeight="1" x14ac:dyDescent="0.35">
      <c r="A100" s="2" t="s">
        <v>259</v>
      </c>
      <c r="B100" s="2" t="s">
        <v>260</v>
      </c>
      <c r="C100" s="2">
        <v>2025</v>
      </c>
      <c r="D100" s="2" t="s">
        <v>261</v>
      </c>
      <c r="E100" s="2" t="s">
        <v>33</v>
      </c>
      <c r="F100" s="2" t="s">
        <v>22</v>
      </c>
      <c r="G100" s="2" t="s">
        <v>23</v>
      </c>
      <c r="H100" s="2" t="s">
        <v>43</v>
      </c>
      <c r="I100" s="2" t="s">
        <v>25</v>
      </c>
      <c r="J100" s="2" t="s">
        <v>26</v>
      </c>
      <c r="K100" s="2" t="s">
        <v>44</v>
      </c>
      <c r="L100" s="2">
        <v>4.8099999999999996</v>
      </c>
      <c r="M100" s="2">
        <v>5.51</v>
      </c>
      <c r="N100" s="2" t="s">
        <v>45</v>
      </c>
      <c r="O100" s="2">
        <v>4.32</v>
      </c>
      <c r="P100" s="2" t="s">
        <v>196</v>
      </c>
      <c r="Q100" s="2" t="s">
        <v>100</v>
      </c>
      <c r="R100" s="2"/>
    </row>
    <row r="101" spans="1:18" ht="25.5" customHeight="1" x14ac:dyDescent="0.35">
      <c r="A101" s="3" t="s">
        <v>259</v>
      </c>
      <c r="B101" s="3" t="s">
        <v>260</v>
      </c>
      <c r="C101" s="3">
        <v>2025</v>
      </c>
      <c r="D101" s="3" t="s">
        <v>261</v>
      </c>
      <c r="E101" s="3" t="s">
        <v>33</v>
      </c>
      <c r="F101" s="3" t="s">
        <v>22</v>
      </c>
      <c r="G101" s="3" t="s">
        <v>23</v>
      </c>
      <c r="H101" s="3" t="s">
        <v>43</v>
      </c>
      <c r="I101" s="3" t="s">
        <v>25</v>
      </c>
      <c r="J101" s="3" t="s">
        <v>32</v>
      </c>
      <c r="K101" s="3" t="s">
        <v>44</v>
      </c>
      <c r="L101" s="3">
        <v>5.22</v>
      </c>
      <c r="M101" s="3">
        <v>5.82</v>
      </c>
      <c r="N101" s="3" t="s">
        <v>45</v>
      </c>
      <c r="O101" s="3">
        <v>4.91</v>
      </c>
      <c r="P101" s="3" t="s">
        <v>196</v>
      </c>
      <c r="Q101" s="3" t="s">
        <v>100</v>
      </c>
      <c r="R101" s="3"/>
    </row>
    <row r="102" spans="1:18" ht="25.5" customHeight="1" x14ac:dyDescent="0.35">
      <c r="A102" s="2" t="s">
        <v>259</v>
      </c>
      <c r="B102" s="2" t="s">
        <v>260</v>
      </c>
      <c r="C102" s="2">
        <v>2025</v>
      </c>
      <c r="D102" s="2" t="s">
        <v>261</v>
      </c>
      <c r="E102" s="2" t="s">
        <v>33</v>
      </c>
      <c r="F102" s="2" t="s">
        <v>22</v>
      </c>
      <c r="G102" s="2" t="s">
        <v>23</v>
      </c>
      <c r="H102" s="2" t="s">
        <v>43</v>
      </c>
      <c r="I102" s="2" t="s">
        <v>25</v>
      </c>
      <c r="J102" s="2" t="s">
        <v>37</v>
      </c>
      <c r="K102" s="2" t="s">
        <v>44</v>
      </c>
      <c r="L102" s="2">
        <v>0.88</v>
      </c>
      <c r="M102" s="2">
        <v>0.79</v>
      </c>
      <c r="N102" s="2" t="s">
        <v>45</v>
      </c>
      <c r="O102" s="2">
        <v>0.95</v>
      </c>
      <c r="P102" s="2" t="s">
        <v>196</v>
      </c>
      <c r="Q102" s="2" t="s">
        <v>100</v>
      </c>
      <c r="R102" s="2"/>
    </row>
    <row r="103" spans="1:18" ht="63" customHeight="1" x14ac:dyDescent="0.35">
      <c r="A103" s="3" t="s">
        <v>262</v>
      </c>
      <c r="B103" s="3" t="s">
        <v>263</v>
      </c>
      <c r="C103" s="3">
        <v>2026</v>
      </c>
      <c r="D103" s="3" t="s">
        <v>264</v>
      </c>
      <c r="E103" s="3" t="s">
        <v>21</v>
      </c>
      <c r="F103" s="3" t="s">
        <v>22</v>
      </c>
      <c r="G103" s="3" t="s">
        <v>23</v>
      </c>
      <c r="H103" s="3" t="s">
        <v>43</v>
      </c>
      <c r="I103" s="3" t="s">
        <v>25</v>
      </c>
      <c r="J103" s="3" t="s">
        <v>26</v>
      </c>
      <c r="K103" s="3" t="s">
        <v>44</v>
      </c>
      <c r="L103" s="3">
        <v>4.1399999999999997</v>
      </c>
      <c r="M103" s="3">
        <v>4.01</v>
      </c>
      <c r="N103" s="3" t="s">
        <v>45</v>
      </c>
      <c r="O103" s="3">
        <v>3.66</v>
      </c>
      <c r="P103" s="3" t="s">
        <v>117</v>
      </c>
      <c r="Q103" s="3" t="s">
        <v>100</v>
      </c>
      <c r="R103" s="3"/>
    </row>
    <row r="104" spans="1:18" ht="72.75" customHeight="1" x14ac:dyDescent="0.35">
      <c r="A104" s="2" t="s">
        <v>262</v>
      </c>
      <c r="B104" s="2" t="s">
        <v>263</v>
      </c>
      <c r="C104" s="2">
        <v>2026</v>
      </c>
      <c r="D104" s="2" t="s">
        <v>264</v>
      </c>
      <c r="E104" s="2" t="s">
        <v>21</v>
      </c>
      <c r="F104" s="2" t="s">
        <v>22</v>
      </c>
      <c r="G104" s="2" t="s">
        <v>23</v>
      </c>
      <c r="H104" s="2" t="s">
        <v>43</v>
      </c>
      <c r="I104" s="2" t="s">
        <v>25</v>
      </c>
      <c r="J104" s="2" t="s">
        <v>32</v>
      </c>
      <c r="K104" s="2" t="s">
        <v>44</v>
      </c>
      <c r="L104" s="2">
        <v>5.29</v>
      </c>
      <c r="M104" s="2">
        <v>4.9800000000000004</v>
      </c>
      <c r="N104" s="2" t="s">
        <v>45</v>
      </c>
      <c r="O104" s="2">
        <v>4.25</v>
      </c>
      <c r="P104" s="2" t="s">
        <v>117</v>
      </c>
      <c r="Q104" s="2" t="s">
        <v>100</v>
      </c>
      <c r="R104" s="2"/>
    </row>
    <row r="105" spans="1:18" ht="35.25" customHeight="1" x14ac:dyDescent="0.35">
      <c r="A105" s="3" t="s">
        <v>265</v>
      </c>
      <c r="B105" s="3" t="s">
        <v>266</v>
      </c>
      <c r="C105" s="3">
        <v>2022</v>
      </c>
      <c r="D105" s="3"/>
      <c r="E105" s="3" t="s">
        <v>21</v>
      </c>
      <c r="F105" s="3" t="s">
        <v>22</v>
      </c>
      <c r="G105" s="3" t="s">
        <v>23</v>
      </c>
      <c r="H105" s="3" t="s">
        <v>43</v>
      </c>
      <c r="I105" s="3" t="s">
        <v>25</v>
      </c>
      <c r="J105" s="3" t="s">
        <v>37</v>
      </c>
      <c r="K105" s="3" t="s">
        <v>44</v>
      </c>
      <c r="L105" s="3">
        <v>0.70899999999999996</v>
      </c>
      <c r="M105" s="3">
        <v>0.71</v>
      </c>
      <c r="N105" s="3" t="s">
        <v>45</v>
      </c>
      <c r="O105" s="3">
        <v>0.71499999999999997</v>
      </c>
      <c r="P105" s="3" t="s">
        <v>117</v>
      </c>
      <c r="Q105" s="3" t="s">
        <v>100</v>
      </c>
      <c r="R105" s="3" t="s">
        <v>267</v>
      </c>
    </row>
    <row r="106" spans="1:18" ht="34.5" customHeight="1" x14ac:dyDescent="0.35">
      <c r="A106" s="2" t="s">
        <v>268</v>
      </c>
      <c r="B106" s="2" t="s">
        <v>269</v>
      </c>
      <c r="C106" s="2">
        <v>2024</v>
      </c>
      <c r="D106" s="2"/>
      <c r="E106" s="2" t="s">
        <v>56</v>
      </c>
      <c r="F106" s="2" t="s">
        <v>215</v>
      </c>
      <c r="G106" s="2" t="s">
        <v>133</v>
      </c>
      <c r="H106" s="2" t="s">
        <v>24</v>
      </c>
      <c r="I106" s="2" t="s">
        <v>68</v>
      </c>
      <c r="J106" s="2" t="s">
        <v>37</v>
      </c>
      <c r="K106" s="2" t="s">
        <v>27</v>
      </c>
      <c r="L106" s="2">
        <v>0.82</v>
      </c>
      <c r="M106" s="2">
        <v>0.64</v>
      </c>
      <c r="N106" s="2" t="s">
        <v>28</v>
      </c>
      <c r="O106" s="2">
        <v>0.83</v>
      </c>
      <c r="P106" s="2" t="s">
        <v>63</v>
      </c>
      <c r="Q106" s="2" t="s">
        <v>93</v>
      </c>
      <c r="R106" s="2"/>
    </row>
    <row r="107" spans="1:18" ht="40.5" customHeight="1" x14ac:dyDescent="0.35">
      <c r="A107" s="3" t="s">
        <v>268</v>
      </c>
      <c r="B107" s="3" t="s">
        <v>269</v>
      </c>
      <c r="C107" s="3">
        <v>2024</v>
      </c>
      <c r="D107" s="3"/>
      <c r="E107" s="3" t="s">
        <v>56</v>
      </c>
      <c r="F107" s="3" t="s">
        <v>22</v>
      </c>
      <c r="G107" s="3" t="s">
        <v>23</v>
      </c>
      <c r="H107" s="3" t="s">
        <v>24</v>
      </c>
      <c r="I107" s="3" t="s">
        <v>68</v>
      </c>
      <c r="J107" s="3" t="s">
        <v>37</v>
      </c>
      <c r="K107" s="3" t="s">
        <v>27</v>
      </c>
      <c r="L107" s="3">
        <v>0.64</v>
      </c>
      <c r="M107" s="3">
        <v>0.59</v>
      </c>
      <c r="N107" s="3" t="s">
        <v>28</v>
      </c>
      <c r="O107" s="3">
        <v>0.65</v>
      </c>
      <c r="P107" s="3" t="s">
        <v>63</v>
      </c>
      <c r="Q107" s="3" t="s">
        <v>93</v>
      </c>
      <c r="R107" s="3"/>
    </row>
    <row r="108" spans="1:18" ht="25.5" customHeight="1" x14ac:dyDescent="0.35">
      <c r="A108" s="2" t="s">
        <v>270</v>
      </c>
      <c r="B108" s="2" t="s">
        <v>271</v>
      </c>
      <c r="C108" s="2">
        <v>2025</v>
      </c>
      <c r="D108" s="2" t="s">
        <v>272</v>
      </c>
      <c r="E108" s="2" t="s">
        <v>56</v>
      </c>
      <c r="F108" s="2" t="s">
        <v>22</v>
      </c>
      <c r="G108" s="2" t="s">
        <v>273</v>
      </c>
      <c r="H108" s="2" t="s">
        <v>86</v>
      </c>
      <c r="I108" s="2" t="s">
        <v>25</v>
      </c>
      <c r="J108" s="2" t="s">
        <v>37</v>
      </c>
      <c r="K108" s="2" t="s">
        <v>221</v>
      </c>
      <c r="L108" s="2">
        <v>0.63</v>
      </c>
      <c r="M108" s="2">
        <v>0.53</v>
      </c>
      <c r="N108" s="2" t="s">
        <v>222</v>
      </c>
      <c r="O108" s="2">
        <v>0.64</v>
      </c>
      <c r="P108" s="2" t="s">
        <v>176</v>
      </c>
      <c r="Q108" s="2" t="s">
        <v>100</v>
      </c>
      <c r="R108" s="2"/>
    </row>
    <row r="109" spans="1:18" ht="24" customHeight="1" x14ac:dyDescent="0.35">
      <c r="A109" s="3" t="s">
        <v>270</v>
      </c>
      <c r="B109" s="3" t="s">
        <v>271</v>
      </c>
      <c r="C109" s="3">
        <v>2025</v>
      </c>
      <c r="D109" s="3" t="s">
        <v>272</v>
      </c>
      <c r="E109" s="3" t="s">
        <v>56</v>
      </c>
      <c r="F109" s="3" t="s">
        <v>22</v>
      </c>
      <c r="G109" s="3" t="s">
        <v>273</v>
      </c>
      <c r="H109" s="3" t="s">
        <v>86</v>
      </c>
      <c r="I109" s="3" t="s">
        <v>25</v>
      </c>
      <c r="J109" s="3" t="s">
        <v>26</v>
      </c>
      <c r="K109" s="3" t="s">
        <v>221</v>
      </c>
      <c r="L109" s="3">
        <v>7.03</v>
      </c>
      <c r="M109" s="3">
        <v>8.1199999999999992</v>
      </c>
      <c r="N109" s="3" t="s">
        <v>222</v>
      </c>
      <c r="O109" s="3">
        <v>6.37</v>
      </c>
      <c r="P109" s="3" t="s">
        <v>176</v>
      </c>
      <c r="Q109" s="3" t="s">
        <v>100</v>
      </c>
      <c r="R109" s="3"/>
    </row>
    <row r="110" spans="1:18" ht="27" customHeight="1" x14ac:dyDescent="0.35">
      <c r="A110" s="2" t="s">
        <v>270</v>
      </c>
      <c r="B110" s="2" t="s">
        <v>271</v>
      </c>
      <c r="C110" s="2">
        <v>2025</v>
      </c>
      <c r="D110" s="2" t="s">
        <v>272</v>
      </c>
      <c r="E110" s="2" t="s">
        <v>56</v>
      </c>
      <c r="F110" s="2" t="s">
        <v>22</v>
      </c>
      <c r="G110" s="2" t="s">
        <v>273</v>
      </c>
      <c r="H110" s="2" t="s">
        <v>86</v>
      </c>
      <c r="I110" s="2" t="s">
        <v>25</v>
      </c>
      <c r="J110" s="2" t="s">
        <v>32</v>
      </c>
      <c r="K110" s="2" t="s">
        <v>221</v>
      </c>
      <c r="L110" s="2">
        <v>8.64</v>
      </c>
      <c r="M110" s="2">
        <v>10.28</v>
      </c>
      <c r="N110" s="2" t="s">
        <v>222</v>
      </c>
      <c r="O110" s="2">
        <v>8.06</v>
      </c>
      <c r="P110" s="2" t="s">
        <v>176</v>
      </c>
      <c r="Q110" s="2" t="s">
        <v>100</v>
      </c>
      <c r="R110" s="2"/>
    </row>
    <row r="111" spans="1:18" ht="34.5" customHeight="1" x14ac:dyDescent="0.35">
      <c r="A111" s="3" t="s">
        <v>274</v>
      </c>
      <c r="B111" s="3" t="s">
        <v>275</v>
      </c>
      <c r="C111" s="3">
        <v>2025</v>
      </c>
      <c r="D111" s="3" t="s">
        <v>276</v>
      </c>
      <c r="E111" s="3" t="s">
        <v>33</v>
      </c>
      <c r="F111" s="3" t="s">
        <v>22</v>
      </c>
      <c r="G111" s="3" t="s">
        <v>23</v>
      </c>
      <c r="H111" s="3" t="s">
        <v>24</v>
      </c>
      <c r="I111" s="3" t="s">
        <v>25</v>
      </c>
      <c r="J111" s="3" t="s">
        <v>39</v>
      </c>
      <c r="K111" s="3" t="s">
        <v>27</v>
      </c>
      <c r="L111" s="3">
        <v>79.13</v>
      </c>
      <c r="M111" s="3">
        <v>80.87</v>
      </c>
      <c r="N111" s="3" t="s">
        <v>28</v>
      </c>
      <c r="O111" s="3">
        <v>83.86</v>
      </c>
      <c r="P111" s="3" t="s">
        <v>63</v>
      </c>
      <c r="Q111" s="3" t="s">
        <v>93</v>
      </c>
      <c r="R111" s="3" t="s">
        <v>277</v>
      </c>
    </row>
    <row r="112" spans="1:18" ht="25.5" customHeight="1" x14ac:dyDescent="0.35">
      <c r="A112" s="2" t="s">
        <v>278</v>
      </c>
      <c r="B112" s="2" t="s">
        <v>279</v>
      </c>
      <c r="C112" s="2">
        <v>2025</v>
      </c>
      <c r="D112" s="2" t="s">
        <v>280</v>
      </c>
      <c r="E112" s="2" t="s">
        <v>56</v>
      </c>
      <c r="F112" s="2" t="s">
        <v>281</v>
      </c>
      <c r="G112" s="2" t="s">
        <v>85</v>
      </c>
      <c r="H112" s="2" t="s">
        <v>282</v>
      </c>
      <c r="I112" s="2" t="s">
        <v>25</v>
      </c>
      <c r="J112" s="2" t="s">
        <v>39</v>
      </c>
      <c r="K112" s="2" t="s">
        <v>283</v>
      </c>
      <c r="L112" s="2">
        <v>73</v>
      </c>
      <c r="M112" s="2">
        <v>86.3</v>
      </c>
      <c r="N112" s="2" t="s">
        <v>284</v>
      </c>
      <c r="O112" s="2">
        <v>93</v>
      </c>
      <c r="P112" s="2" t="s">
        <v>285</v>
      </c>
      <c r="Q112" s="2" t="s">
        <v>100</v>
      </c>
      <c r="R112" s="2"/>
    </row>
    <row r="113" spans="1:18" ht="46.5" customHeight="1" x14ac:dyDescent="0.35">
      <c r="A113" s="3" t="s">
        <v>286</v>
      </c>
      <c r="B113" s="3" t="s">
        <v>287</v>
      </c>
      <c r="C113" s="3">
        <v>2021</v>
      </c>
      <c r="D113" s="3" t="s">
        <v>288</v>
      </c>
      <c r="E113" s="3" t="s">
        <v>56</v>
      </c>
      <c r="F113" s="3" t="s">
        <v>215</v>
      </c>
      <c r="G113" s="3" t="s">
        <v>133</v>
      </c>
      <c r="H113" s="3" t="s">
        <v>24</v>
      </c>
      <c r="I113" s="3" t="s">
        <v>25</v>
      </c>
      <c r="J113" s="3" t="s">
        <v>39</v>
      </c>
      <c r="K113" s="3" t="s">
        <v>27</v>
      </c>
      <c r="L113" s="3">
        <v>72.22</v>
      </c>
      <c r="M113" s="3">
        <v>83.33</v>
      </c>
      <c r="N113" s="3" t="s">
        <v>28</v>
      </c>
      <c r="O113" s="3">
        <v>88.89</v>
      </c>
      <c r="P113" s="3" t="s">
        <v>289</v>
      </c>
      <c r="Q113" s="3" t="s">
        <v>93</v>
      </c>
      <c r="R113" s="3"/>
    </row>
    <row r="114" spans="1:18" ht="40.5" customHeight="1" x14ac:dyDescent="0.35">
      <c r="A114" s="2" t="s">
        <v>290</v>
      </c>
      <c r="B114" s="2" t="s">
        <v>291</v>
      </c>
      <c r="C114" s="2">
        <v>2026</v>
      </c>
      <c r="D114" s="2" t="s">
        <v>292</v>
      </c>
      <c r="E114" s="2" t="s">
        <v>51</v>
      </c>
      <c r="F114" s="2" t="s">
        <v>22</v>
      </c>
      <c r="G114" s="2" t="s">
        <v>52</v>
      </c>
      <c r="H114" s="2" t="s">
        <v>43</v>
      </c>
      <c r="I114" s="2" t="s">
        <v>25</v>
      </c>
      <c r="J114" s="2" t="s">
        <v>37</v>
      </c>
      <c r="K114" s="2" t="s">
        <v>44</v>
      </c>
      <c r="L114" s="2">
        <v>0.68059999999999998</v>
      </c>
      <c r="M114" s="2"/>
      <c r="N114" s="2" t="s">
        <v>45</v>
      </c>
      <c r="O114" s="2">
        <v>0.69399999999999995</v>
      </c>
      <c r="P114" s="2" t="s">
        <v>59</v>
      </c>
      <c r="Q114" s="2" t="s">
        <v>100</v>
      </c>
      <c r="R114" s="2"/>
    </row>
    <row r="115" spans="1:18" ht="45" customHeight="1" x14ac:dyDescent="0.35">
      <c r="A115" s="3" t="s">
        <v>290</v>
      </c>
      <c r="B115" s="3" t="s">
        <v>291</v>
      </c>
      <c r="C115" s="3">
        <v>2026</v>
      </c>
      <c r="D115" s="3" t="s">
        <v>292</v>
      </c>
      <c r="E115" s="3" t="s">
        <v>21</v>
      </c>
      <c r="F115" s="3" t="s">
        <v>22</v>
      </c>
      <c r="G115" s="3" t="s">
        <v>23</v>
      </c>
      <c r="H115" s="3" t="s">
        <v>43</v>
      </c>
      <c r="I115" s="3" t="s">
        <v>25</v>
      </c>
      <c r="J115" s="3" t="s">
        <v>37</v>
      </c>
      <c r="K115" s="3" t="s">
        <v>44</v>
      </c>
      <c r="L115" s="3">
        <v>0.69740000000000002</v>
      </c>
      <c r="M115" s="3"/>
      <c r="N115" s="3" t="s">
        <v>45</v>
      </c>
      <c r="O115" s="3">
        <v>0.61399999999999999</v>
      </c>
      <c r="P115" s="3" t="s">
        <v>59</v>
      </c>
      <c r="Q115" s="3" t="s">
        <v>100</v>
      </c>
      <c r="R115" s="3"/>
    </row>
    <row r="116" spans="1:18" ht="27" customHeight="1" x14ac:dyDescent="0.35">
      <c r="A116" s="2" t="s">
        <v>290</v>
      </c>
      <c r="B116" s="2" t="s">
        <v>291</v>
      </c>
      <c r="C116" s="2">
        <v>2026</v>
      </c>
      <c r="D116" s="2" t="s">
        <v>292</v>
      </c>
      <c r="E116" s="2" t="s">
        <v>67</v>
      </c>
      <c r="F116" s="2" t="s">
        <v>22</v>
      </c>
      <c r="G116" s="2" t="s">
        <v>415</v>
      </c>
      <c r="H116" s="2" t="s">
        <v>43</v>
      </c>
      <c r="I116" s="2" t="s">
        <v>25</v>
      </c>
      <c r="J116" s="2" t="s">
        <v>37</v>
      </c>
      <c r="K116" s="2" t="s">
        <v>44</v>
      </c>
      <c r="L116" s="2">
        <v>0.93669999999999998</v>
      </c>
      <c r="M116" s="2"/>
      <c r="N116" s="2" t="s">
        <v>45</v>
      </c>
      <c r="O116" s="2">
        <v>0.97350000000000003</v>
      </c>
      <c r="P116" s="2" t="s">
        <v>59</v>
      </c>
      <c r="Q116" s="2" t="s">
        <v>100</v>
      </c>
      <c r="R116" s="2"/>
    </row>
    <row r="117" spans="1:18" ht="34.5" customHeight="1" x14ac:dyDescent="0.35">
      <c r="A117" s="3" t="s">
        <v>293</v>
      </c>
      <c r="B117" s="3" t="s">
        <v>294</v>
      </c>
      <c r="C117" s="3">
        <v>2024</v>
      </c>
      <c r="D117" s="3" t="s">
        <v>295</v>
      </c>
      <c r="E117" s="3" t="s">
        <v>79</v>
      </c>
      <c r="F117" s="3" t="s">
        <v>22</v>
      </c>
      <c r="G117" s="3" t="s">
        <v>52</v>
      </c>
      <c r="H117" s="3" t="s">
        <v>43</v>
      </c>
      <c r="I117" s="3" t="s">
        <v>25</v>
      </c>
      <c r="J117" s="3" t="s">
        <v>32</v>
      </c>
      <c r="K117" s="3" t="s">
        <v>27</v>
      </c>
      <c r="L117" s="3">
        <v>9.56</v>
      </c>
      <c r="M117" s="3">
        <v>7.5</v>
      </c>
      <c r="N117" s="3" t="s">
        <v>28</v>
      </c>
      <c r="O117" s="3">
        <v>7.97</v>
      </c>
      <c r="P117" s="3" t="s">
        <v>63</v>
      </c>
      <c r="Q117" s="3" t="s">
        <v>93</v>
      </c>
      <c r="R117" s="3" t="s">
        <v>296</v>
      </c>
    </row>
    <row r="118" spans="1:18" ht="29.25" customHeight="1" x14ac:dyDescent="0.35">
      <c r="A118" s="3" t="s">
        <v>293</v>
      </c>
      <c r="B118" s="3" t="s">
        <v>294</v>
      </c>
      <c r="C118" s="3">
        <v>2024</v>
      </c>
      <c r="D118" s="3" t="s">
        <v>295</v>
      </c>
      <c r="E118" s="3" t="s">
        <v>79</v>
      </c>
      <c r="F118" s="3" t="s">
        <v>22</v>
      </c>
      <c r="G118" s="3" t="s">
        <v>52</v>
      </c>
      <c r="H118" s="3" t="s">
        <v>43</v>
      </c>
      <c r="I118" s="3" t="s">
        <v>25</v>
      </c>
      <c r="J118" s="3" t="s">
        <v>26</v>
      </c>
      <c r="K118" s="3" t="s">
        <v>27</v>
      </c>
      <c r="L118" s="3">
        <v>7.32</v>
      </c>
      <c r="M118" s="3">
        <v>6.04</v>
      </c>
      <c r="N118" s="3" t="s">
        <v>28</v>
      </c>
      <c r="O118" s="3">
        <v>6.12</v>
      </c>
      <c r="P118" s="3" t="s">
        <v>63</v>
      </c>
      <c r="Q118" s="3" t="s">
        <v>93</v>
      </c>
      <c r="R118" s="3" t="s">
        <v>296</v>
      </c>
    </row>
    <row r="119" spans="1:18" ht="31.5" customHeight="1" x14ac:dyDescent="0.35">
      <c r="A119" s="3" t="s">
        <v>293</v>
      </c>
      <c r="B119" s="3" t="s">
        <v>294</v>
      </c>
      <c r="C119" s="3">
        <v>2024</v>
      </c>
      <c r="D119" s="3" t="s">
        <v>295</v>
      </c>
      <c r="E119" s="3" t="s">
        <v>51</v>
      </c>
      <c r="F119" s="3" t="s">
        <v>22</v>
      </c>
      <c r="G119" s="3" t="s">
        <v>52</v>
      </c>
      <c r="H119" s="3" t="s">
        <v>43</v>
      </c>
      <c r="I119" s="3" t="s">
        <v>25</v>
      </c>
      <c r="J119" s="3" t="s">
        <v>32</v>
      </c>
      <c r="K119" s="3" t="s">
        <v>27</v>
      </c>
      <c r="L119" s="3">
        <v>9.2799999999999994</v>
      </c>
      <c r="M119" s="3">
        <v>7.09</v>
      </c>
      <c r="N119" s="3" t="s">
        <v>28</v>
      </c>
      <c r="O119" s="3">
        <v>6.61</v>
      </c>
      <c r="P119" s="3" t="s">
        <v>63</v>
      </c>
      <c r="Q119" s="3" t="s">
        <v>93</v>
      </c>
      <c r="R119" s="3" t="s">
        <v>296</v>
      </c>
    </row>
    <row r="120" spans="1:18" ht="30" customHeight="1" x14ac:dyDescent="0.35">
      <c r="A120" s="3" t="s">
        <v>293</v>
      </c>
      <c r="B120" s="3" t="s">
        <v>294</v>
      </c>
      <c r="C120" s="3">
        <v>2024</v>
      </c>
      <c r="D120" s="3" t="s">
        <v>295</v>
      </c>
      <c r="E120" s="3" t="s">
        <v>51</v>
      </c>
      <c r="F120" s="3" t="s">
        <v>22</v>
      </c>
      <c r="G120" s="3" t="s">
        <v>52</v>
      </c>
      <c r="H120" s="3" t="s">
        <v>43</v>
      </c>
      <c r="I120" s="3" t="s">
        <v>25</v>
      </c>
      <c r="J120" s="3" t="s">
        <v>26</v>
      </c>
      <c r="K120" s="3" t="s">
        <v>27</v>
      </c>
      <c r="L120" s="3">
        <v>7.63</v>
      </c>
      <c r="M120" s="3">
        <v>5.92</v>
      </c>
      <c r="N120" s="3" t="s">
        <v>28</v>
      </c>
      <c r="O120" s="3">
        <v>5.45</v>
      </c>
      <c r="P120" s="3" t="s">
        <v>63</v>
      </c>
      <c r="Q120" s="3" t="s">
        <v>93</v>
      </c>
      <c r="R120" s="3" t="s">
        <v>296</v>
      </c>
    </row>
    <row r="121" spans="1:18" ht="31.5" customHeight="1" x14ac:dyDescent="0.35">
      <c r="A121" s="3" t="s">
        <v>293</v>
      </c>
      <c r="B121" s="3" t="s">
        <v>294</v>
      </c>
      <c r="C121" s="3">
        <v>2024</v>
      </c>
      <c r="D121" s="3" t="s">
        <v>295</v>
      </c>
      <c r="E121" s="3" t="s">
        <v>21</v>
      </c>
      <c r="F121" s="3" t="s">
        <v>22</v>
      </c>
      <c r="G121" s="3" t="s">
        <v>23</v>
      </c>
      <c r="H121" s="3" t="s">
        <v>43</v>
      </c>
      <c r="I121" s="3" t="s">
        <v>25</v>
      </c>
      <c r="J121" s="3" t="s">
        <v>32</v>
      </c>
      <c r="K121" s="3" t="s">
        <v>27</v>
      </c>
      <c r="L121" s="3">
        <v>5.6</v>
      </c>
      <c r="M121" s="3">
        <v>5.88</v>
      </c>
      <c r="N121" s="3" t="s">
        <v>28</v>
      </c>
      <c r="O121" s="3">
        <v>5.49</v>
      </c>
      <c r="P121" s="3" t="s">
        <v>63</v>
      </c>
      <c r="Q121" s="3" t="s">
        <v>100</v>
      </c>
      <c r="R121" s="3" t="s">
        <v>296</v>
      </c>
    </row>
    <row r="122" spans="1:18" ht="27" customHeight="1" x14ac:dyDescent="0.35">
      <c r="A122" s="3" t="s">
        <v>293</v>
      </c>
      <c r="B122" s="3" t="s">
        <v>294</v>
      </c>
      <c r="C122" s="3">
        <v>2024</v>
      </c>
      <c r="D122" s="3" t="s">
        <v>295</v>
      </c>
      <c r="E122" s="3" t="s">
        <v>21</v>
      </c>
      <c r="F122" s="3" t="s">
        <v>22</v>
      </c>
      <c r="G122" s="3" t="s">
        <v>23</v>
      </c>
      <c r="H122" s="3" t="s">
        <v>43</v>
      </c>
      <c r="I122" s="3" t="s">
        <v>25</v>
      </c>
      <c r="J122" s="3" t="s">
        <v>26</v>
      </c>
      <c r="K122" s="3" t="s">
        <v>27</v>
      </c>
      <c r="L122" s="3">
        <v>4.88</v>
      </c>
      <c r="M122" s="3">
        <v>4.51</v>
      </c>
      <c r="N122" s="3" t="s">
        <v>28</v>
      </c>
      <c r="O122" s="3">
        <v>4.6900000000000004</v>
      </c>
      <c r="P122" s="3" t="s">
        <v>63</v>
      </c>
      <c r="Q122" s="3" t="s">
        <v>100</v>
      </c>
      <c r="R122" s="3" t="s">
        <v>296</v>
      </c>
    </row>
    <row r="123" spans="1:18" ht="79.5" customHeight="1" x14ac:dyDescent="0.35">
      <c r="A123" s="4" t="s">
        <v>297</v>
      </c>
      <c r="B123" s="4" t="s">
        <v>298</v>
      </c>
      <c r="C123" s="4">
        <v>2023</v>
      </c>
      <c r="D123" s="4" t="s">
        <v>299</v>
      </c>
      <c r="E123" s="4" t="s">
        <v>21</v>
      </c>
      <c r="F123" s="2" t="s">
        <v>22</v>
      </c>
      <c r="G123" s="2" t="s">
        <v>23</v>
      </c>
      <c r="H123" s="4" t="s">
        <v>43</v>
      </c>
      <c r="I123" s="4" t="s">
        <v>68</v>
      </c>
      <c r="J123" s="4" t="s">
        <v>26</v>
      </c>
      <c r="K123" s="4" t="s">
        <v>44</v>
      </c>
      <c r="L123" s="4">
        <v>3.39</v>
      </c>
      <c r="M123" s="4">
        <v>4.12</v>
      </c>
      <c r="N123" s="4" t="s">
        <v>45</v>
      </c>
      <c r="O123" s="4">
        <v>3.18</v>
      </c>
      <c r="P123" s="4" t="s">
        <v>63</v>
      </c>
      <c r="Q123" s="4" t="s">
        <v>100</v>
      </c>
      <c r="R123" s="4"/>
    </row>
    <row r="124" spans="1:18" ht="75.75" customHeight="1" x14ac:dyDescent="0.35">
      <c r="A124" s="2" t="s">
        <v>297</v>
      </c>
      <c r="B124" s="2" t="s">
        <v>298</v>
      </c>
      <c r="C124" s="2">
        <v>2023</v>
      </c>
      <c r="D124" s="2" t="s">
        <v>299</v>
      </c>
      <c r="E124" s="2" t="s">
        <v>21</v>
      </c>
      <c r="F124" s="2" t="s">
        <v>22</v>
      </c>
      <c r="G124" s="2" t="s">
        <v>23</v>
      </c>
      <c r="H124" s="2" t="s">
        <v>43</v>
      </c>
      <c r="I124" s="2" t="s">
        <v>68</v>
      </c>
      <c r="J124" s="2" t="s">
        <v>32</v>
      </c>
      <c r="K124" s="2" t="s">
        <v>44</v>
      </c>
      <c r="L124" s="2">
        <v>4</v>
      </c>
      <c r="M124" s="2">
        <v>5.44</v>
      </c>
      <c r="N124" s="2" t="s">
        <v>45</v>
      </c>
      <c r="O124" s="2">
        <v>3.68</v>
      </c>
      <c r="P124" s="2" t="s">
        <v>63</v>
      </c>
      <c r="Q124" s="2" t="s">
        <v>100</v>
      </c>
      <c r="R124" s="2"/>
    </row>
    <row r="125" spans="1:18" ht="75.75" customHeight="1" x14ac:dyDescent="0.35">
      <c r="A125" s="3" t="s">
        <v>300</v>
      </c>
      <c r="B125" s="3" t="s">
        <v>301</v>
      </c>
      <c r="C125" s="3">
        <v>2022</v>
      </c>
      <c r="D125" s="3" t="s">
        <v>302</v>
      </c>
      <c r="E125" s="3" t="s">
        <v>67</v>
      </c>
      <c r="F125" s="3" t="s">
        <v>22</v>
      </c>
      <c r="G125" s="3" t="s">
        <v>415</v>
      </c>
      <c r="H125" s="3" t="s">
        <v>24</v>
      </c>
      <c r="I125" s="3" t="s">
        <v>68</v>
      </c>
      <c r="J125" s="3" t="s">
        <v>37</v>
      </c>
      <c r="K125" s="3" t="s">
        <v>27</v>
      </c>
      <c r="L125" s="3">
        <v>58.55</v>
      </c>
      <c r="M125" s="3">
        <v>56.38</v>
      </c>
      <c r="N125" s="3" t="s">
        <v>28</v>
      </c>
      <c r="O125" s="3">
        <v>63.5</v>
      </c>
      <c r="P125" s="3" t="s">
        <v>63</v>
      </c>
      <c r="Q125" s="3" t="s">
        <v>93</v>
      </c>
      <c r="R125" s="3"/>
    </row>
    <row r="126" spans="1:18" ht="84" customHeight="1" x14ac:dyDescent="0.35">
      <c r="A126" s="2" t="s">
        <v>303</v>
      </c>
      <c r="B126" s="2" t="s">
        <v>304</v>
      </c>
      <c r="C126" s="2">
        <v>2019</v>
      </c>
      <c r="D126" s="2" t="s">
        <v>305</v>
      </c>
      <c r="E126" s="2" t="s">
        <v>33</v>
      </c>
      <c r="F126" s="2" t="s">
        <v>22</v>
      </c>
      <c r="G126" s="2" t="s">
        <v>23</v>
      </c>
      <c r="H126" s="2" t="s">
        <v>43</v>
      </c>
      <c r="I126" s="2" t="s">
        <v>25</v>
      </c>
      <c r="J126" s="2" t="s">
        <v>32</v>
      </c>
      <c r="K126" s="2" t="s">
        <v>44</v>
      </c>
      <c r="L126" s="2">
        <v>4.37</v>
      </c>
      <c r="M126" s="2">
        <v>5.38</v>
      </c>
      <c r="N126" s="2" t="s">
        <v>45</v>
      </c>
      <c r="O126" s="2">
        <v>4.28</v>
      </c>
      <c r="P126" s="2" t="s">
        <v>113</v>
      </c>
      <c r="Q126" s="2" t="s">
        <v>100</v>
      </c>
      <c r="R126" s="2"/>
    </row>
    <row r="127" spans="1:18" ht="104.25" customHeight="1" x14ac:dyDescent="0.35">
      <c r="A127" s="3" t="s">
        <v>306</v>
      </c>
      <c r="B127" s="3" t="s">
        <v>307</v>
      </c>
      <c r="C127" s="3">
        <v>2016</v>
      </c>
      <c r="D127" s="3" t="s">
        <v>308</v>
      </c>
      <c r="E127" s="3" t="s">
        <v>21</v>
      </c>
      <c r="F127" s="3" t="s">
        <v>22</v>
      </c>
      <c r="G127" s="3" t="s">
        <v>23</v>
      </c>
      <c r="H127" s="3" t="s">
        <v>24</v>
      </c>
      <c r="I127" s="3" t="s">
        <v>25</v>
      </c>
      <c r="J127" s="3" t="s">
        <v>37</v>
      </c>
      <c r="K127" s="3" t="s">
        <v>27</v>
      </c>
      <c r="L127" s="3">
        <v>0.56999999999999995</v>
      </c>
      <c r="M127" s="3">
        <v>0.63</v>
      </c>
      <c r="N127" s="3" t="s">
        <v>28</v>
      </c>
      <c r="O127" s="3">
        <v>0.63</v>
      </c>
      <c r="P127" s="3" t="s">
        <v>163</v>
      </c>
      <c r="Q127" s="3" t="s">
        <v>93</v>
      </c>
      <c r="R127" s="3"/>
    </row>
    <row r="128" spans="1:18" ht="85.5" customHeight="1" x14ac:dyDescent="0.35">
      <c r="A128" s="2" t="s">
        <v>309</v>
      </c>
      <c r="B128" s="2" t="s">
        <v>310</v>
      </c>
      <c r="C128" s="2">
        <v>2024</v>
      </c>
      <c r="D128" s="2" t="s">
        <v>311</v>
      </c>
      <c r="E128" s="2" t="s">
        <v>79</v>
      </c>
      <c r="F128" s="2" t="s">
        <v>22</v>
      </c>
      <c r="G128" s="2" t="s">
        <v>52</v>
      </c>
      <c r="H128" s="2" t="s">
        <v>312</v>
      </c>
      <c r="I128" s="2" t="s">
        <v>58</v>
      </c>
      <c r="J128" s="2" t="s">
        <v>26</v>
      </c>
      <c r="K128" s="2" t="s">
        <v>313</v>
      </c>
      <c r="L128" s="2">
        <v>8.44</v>
      </c>
      <c r="M128" s="2">
        <v>8.26</v>
      </c>
      <c r="N128" s="2" t="s">
        <v>314</v>
      </c>
      <c r="O128" s="2">
        <v>6.6</v>
      </c>
      <c r="P128" s="2" t="s">
        <v>123</v>
      </c>
      <c r="Q128" s="2" t="s">
        <v>100</v>
      </c>
      <c r="R128" s="2"/>
    </row>
    <row r="129" spans="1:18" ht="77.25" customHeight="1" x14ac:dyDescent="0.35">
      <c r="A129" s="2" t="s">
        <v>309</v>
      </c>
      <c r="B129" s="2" t="s">
        <v>310</v>
      </c>
      <c r="C129" s="2">
        <v>2024</v>
      </c>
      <c r="D129" s="2" t="s">
        <v>311</v>
      </c>
      <c r="E129" s="2" t="s">
        <v>79</v>
      </c>
      <c r="F129" s="2" t="s">
        <v>22</v>
      </c>
      <c r="G129" s="2" t="s">
        <v>52</v>
      </c>
      <c r="H129" s="2" t="s">
        <v>312</v>
      </c>
      <c r="I129" s="2" t="s">
        <v>58</v>
      </c>
      <c r="J129" s="2" t="s">
        <v>32</v>
      </c>
      <c r="K129" s="2" t="s">
        <v>313</v>
      </c>
      <c r="L129" s="2">
        <v>10.81</v>
      </c>
      <c r="M129" s="2">
        <v>10.73</v>
      </c>
      <c r="N129" s="2" t="s">
        <v>314</v>
      </c>
      <c r="O129" s="2">
        <v>9</v>
      </c>
      <c r="P129" s="2" t="s">
        <v>123</v>
      </c>
      <c r="Q129" s="2" t="s">
        <v>100</v>
      </c>
      <c r="R129" s="2"/>
    </row>
    <row r="130" spans="1:18" ht="78.75" customHeight="1" x14ac:dyDescent="0.35">
      <c r="A130" s="3" t="s">
        <v>309</v>
      </c>
      <c r="B130" s="3" t="s">
        <v>310</v>
      </c>
      <c r="C130" s="3">
        <v>2024</v>
      </c>
      <c r="D130" s="3" t="s">
        <v>311</v>
      </c>
      <c r="E130" s="3" t="s">
        <v>51</v>
      </c>
      <c r="F130" s="3" t="s">
        <v>22</v>
      </c>
      <c r="G130" s="3" t="s">
        <v>52</v>
      </c>
      <c r="H130" s="3" t="s">
        <v>312</v>
      </c>
      <c r="I130" s="3" t="s">
        <v>58</v>
      </c>
      <c r="J130" s="3" t="s">
        <v>26</v>
      </c>
      <c r="K130" s="3" t="s">
        <v>313</v>
      </c>
      <c r="L130" s="3">
        <v>8.64</v>
      </c>
      <c r="M130" s="3">
        <v>8.5399999999999991</v>
      </c>
      <c r="N130" s="3" t="s">
        <v>314</v>
      </c>
      <c r="O130" s="3">
        <v>7.05</v>
      </c>
      <c r="P130" s="3" t="s">
        <v>113</v>
      </c>
      <c r="Q130" s="3" t="s">
        <v>100</v>
      </c>
      <c r="R130" s="3"/>
    </row>
    <row r="131" spans="1:18" ht="92.25" customHeight="1" x14ac:dyDescent="0.35">
      <c r="A131" s="3" t="s">
        <v>309</v>
      </c>
      <c r="B131" s="3" t="s">
        <v>310</v>
      </c>
      <c r="C131" s="3">
        <v>2024</v>
      </c>
      <c r="D131" s="3" t="s">
        <v>311</v>
      </c>
      <c r="E131" s="3" t="s">
        <v>51</v>
      </c>
      <c r="F131" s="3" t="s">
        <v>22</v>
      </c>
      <c r="G131" s="3" t="s">
        <v>52</v>
      </c>
      <c r="H131" s="3" t="s">
        <v>312</v>
      </c>
      <c r="I131" s="3" t="s">
        <v>58</v>
      </c>
      <c r="J131" s="3" t="s">
        <v>32</v>
      </c>
      <c r="K131" s="3" t="s">
        <v>313</v>
      </c>
      <c r="L131" s="3">
        <v>11.52</v>
      </c>
      <c r="M131" s="3">
        <v>10.61</v>
      </c>
      <c r="N131" s="3" t="s">
        <v>314</v>
      </c>
      <c r="O131" s="3">
        <v>9.4499999999999993</v>
      </c>
      <c r="P131" s="3" t="s">
        <v>113</v>
      </c>
      <c r="Q131" s="3" t="s">
        <v>100</v>
      </c>
      <c r="R131" s="3"/>
    </row>
    <row r="132" spans="1:18" ht="102.75" customHeight="1" x14ac:dyDescent="0.35">
      <c r="A132" s="2" t="s">
        <v>315</v>
      </c>
      <c r="B132" s="2" t="s">
        <v>316</v>
      </c>
      <c r="C132" s="2">
        <v>2024</v>
      </c>
      <c r="D132" s="2" t="s">
        <v>317</v>
      </c>
      <c r="E132" s="2" t="s">
        <v>33</v>
      </c>
      <c r="F132" s="2" t="s">
        <v>22</v>
      </c>
      <c r="G132" s="2" t="s">
        <v>23</v>
      </c>
      <c r="H132" s="2" t="s">
        <v>24</v>
      </c>
      <c r="I132" s="2" t="s">
        <v>25</v>
      </c>
      <c r="J132" s="2" t="s">
        <v>32</v>
      </c>
      <c r="K132" s="2" t="s">
        <v>27</v>
      </c>
      <c r="L132" s="2">
        <v>6.6</v>
      </c>
      <c r="M132" s="2">
        <v>6.11</v>
      </c>
      <c r="N132" s="2" t="s">
        <v>28</v>
      </c>
      <c r="O132" s="2">
        <v>4.8</v>
      </c>
      <c r="P132" s="2" t="s">
        <v>318</v>
      </c>
      <c r="Q132" s="2" t="s">
        <v>93</v>
      </c>
      <c r="R132" s="2"/>
    </row>
    <row r="133" spans="1:18" ht="117" customHeight="1" x14ac:dyDescent="0.35">
      <c r="A133" s="2" t="s">
        <v>315</v>
      </c>
      <c r="B133" s="2" t="s">
        <v>316</v>
      </c>
      <c r="C133" s="2">
        <v>2024</v>
      </c>
      <c r="D133" s="2" t="s">
        <v>317</v>
      </c>
      <c r="E133" s="2" t="s">
        <v>33</v>
      </c>
      <c r="F133" s="2" t="s">
        <v>22</v>
      </c>
      <c r="G133" s="2" t="s">
        <v>23</v>
      </c>
      <c r="H133" s="2" t="s">
        <v>24</v>
      </c>
      <c r="I133" s="2" t="s">
        <v>25</v>
      </c>
      <c r="J133" s="2" t="s">
        <v>26</v>
      </c>
      <c r="K133" s="2" t="s">
        <v>27</v>
      </c>
      <c r="L133" s="2">
        <v>6.21</v>
      </c>
      <c r="M133" s="2">
        <v>5.91</v>
      </c>
      <c r="N133" s="2" t="s">
        <v>28</v>
      </c>
      <c r="O133" s="2">
        <v>4.58</v>
      </c>
      <c r="P133" s="2" t="s">
        <v>318</v>
      </c>
      <c r="Q133" s="2" t="s">
        <v>93</v>
      </c>
      <c r="R133" s="2"/>
    </row>
    <row r="134" spans="1:18" ht="106.5" customHeight="1" x14ac:dyDescent="0.35">
      <c r="A134" s="3" t="s">
        <v>319</v>
      </c>
      <c r="B134" s="3" t="s">
        <v>320</v>
      </c>
      <c r="C134" s="3">
        <v>2025</v>
      </c>
      <c r="D134" s="3" t="s">
        <v>321</v>
      </c>
      <c r="E134" s="3" t="s">
        <v>79</v>
      </c>
      <c r="F134" s="3" t="s">
        <v>22</v>
      </c>
      <c r="G134" s="3" t="s">
        <v>52</v>
      </c>
      <c r="H134" s="3" t="s">
        <v>24</v>
      </c>
      <c r="I134" s="3" t="s">
        <v>68</v>
      </c>
      <c r="J134" s="3" t="s">
        <v>32</v>
      </c>
      <c r="K134" s="3" t="s">
        <v>27</v>
      </c>
      <c r="L134" s="3">
        <v>6.58</v>
      </c>
      <c r="M134" s="3">
        <v>6.06</v>
      </c>
      <c r="N134" s="3" t="s">
        <v>28</v>
      </c>
      <c r="O134" s="3">
        <v>5.21</v>
      </c>
      <c r="P134" s="3" t="s">
        <v>128</v>
      </c>
      <c r="Q134" s="3" t="s">
        <v>93</v>
      </c>
      <c r="R134" s="3" t="s">
        <v>322</v>
      </c>
    </row>
    <row r="135" spans="1:18" ht="112.5" customHeight="1" x14ac:dyDescent="0.35">
      <c r="A135" s="3" t="s">
        <v>319</v>
      </c>
      <c r="B135" s="3" t="s">
        <v>320</v>
      </c>
      <c r="C135" s="3">
        <v>2025</v>
      </c>
      <c r="D135" s="3" t="s">
        <v>321</v>
      </c>
      <c r="E135" s="3" t="s">
        <v>79</v>
      </c>
      <c r="F135" s="3" t="s">
        <v>22</v>
      </c>
      <c r="G135" s="3" t="s">
        <v>52</v>
      </c>
      <c r="H135" s="3" t="s">
        <v>24</v>
      </c>
      <c r="I135" s="3" t="s">
        <v>68</v>
      </c>
      <c r="J135" s="3" t="s">
        <v>26</v>
      </c>
      <c r="K135" s="3" t="s">
        <v>27</v>
      </c>
      <c r="L135" s="3">
        <v>4.92</v>
      </c>
      <c r="M135" s="3">
        <v>4.72</v>
      </c>
      <c r="N135" s="3" t="s">
        <v>28</v>
      </c>
      <c r="O135" s="3">
        <v>3.87</v>
      </c>
      <c r="P135" s="3" t="s">
        <v>128</v>
      </c>
      <c r="Q135" s="3" t="s">
        <v>93</v>
      </c>
      <c r="R135" s="3" t="s">
        <v>322</v>
      </c>
    </row>
    <row r="136" spans="1:18" ht="66" customHeight="1" x14ac:dyDescent="0.35">
      <c r="A136" s="2" t="s">
        <v>319</v>
      </c>
      <c r="B136" s="2" t="s">
        <v>320</v>
      </c>
      <c r="C136" s="2">
        <v>2025</v>
      </c>
      <c r="D136" s="2" t="s">
        <v>321</v>
      </c>
      <c r="E136" s="2" t="s">
        <v>51</v>
      </c>
      <c r="F136" s="2" t="s">
        <v>22</v>
      </c>
      <c r="G136" s="2" t="s">
        <v>52</v>
      </c>
      <c r="H136" s="2" t="s">
        <v>24</v>
      </c>
      <c r="I136" s="2" t="s">
        <v>68</v>
      </c>
      <c r="J136" s="2" t="s">
        <v>32</v>
      </c>
      <c r="K136" s="2" t="s">
        <v>27</v>
      </c>
      <c r="L136" s="2">
        <v>6.46</v>
      </c>
      <c r="M136" s="2">
        <v>6.02</v>
      </c>
      <c r="N136" s="2" t="s">
        <v>28</v>
      </c>
      <c r="O136" s="2">
        <v>5.05</v>
      </c>
      <c r="P136" s="2" t="s">
        <v>128</v>
      </c>
      <c r="Q136" s="2" t="s">
        <v>93</v>
      </c>
      <c r="R136" s="2" t="s">
        <v>322</v>
      </c>
    </row>
    <row r="137" spans="1:18" ht="42.75" customHeight="1" x14ac:dyDescent="0.35">
      <c r="A137" s="2" t="s">
        <v>319</v>
      </c>
      <c r="B137" s="2" t="s">
        <v>320</v>
      </c>
      <c r="C137" s="2">
        <v>2025</v>
      </c>
      <c r="D137" s="2" t="s">
        <v>321</v>
      </c>
      <c r="E137" s="2" t="s">
        <v>51</v>
      </c>
      <c r="F137" s="2" t="s">
        <v>22</v>
      </c>
      <c r="G137" s="2" t="s">
        <v>52</v>
      </c>
      <c r="H137" s="2" t="s">
        <v>24</v>
      </c>
      <c r="I137" s="2" t="s">
        <v>68</v>
      </c>
      <c r="J137" s="2" t="s">
        <v>26</v>
      </c>
      <c r="K137" s="2" t="s">
        <v>27</v>
      </c>
      <c r="L137" s="2">
        <v>4.88</v>
      </c>
      <c r="M137" s="2">
        <v>4.5199999999999996</v>
      </c>
      <c r="N137" s="2" t="s">
        <v>28</v>
      </c>
      <c r="O137" s="2">
        <v>3.63</v>
      </c>
      <c r="P137" s="2" t="s">
        <v>128</v>
      </c>
      <c r="Q137" s="2" t="s">
        <v>93</v>
      </c>
      <c r="R137" s="2" t="s">
        <v>322</v>
      </c>
    </row>
    <row r="138" spans="1:18" ht="51" customHeight="1" x14ac:dyDescent="0.35">
      <c r="A138" s="3" t="s">
        <v>323</v>
      </c>
      <c r="B138" s="3" t="s">
        <v>324</v>
      </c>
      <c r="C138" s="3">
        <v>2026</v>
      </c>
      <c r="D138" s="3" t="s">
        <v>325</v>
      </c>
      <c r="E138" s="3" t="s">
        <v>79</v>
      </c>
      <c r="F138" s="3" t="s">
        <v>22</v>
      </c>
      <c r="G138" s="3" t="s">
        <v>52</v>
      </c>
      <c r="H138" s="3" t="s">
        <v>24</v>
      </c>
      <c r="I138" s="3" t="s">
        <v>58</v>
      </c>
      <c r="J138" s="3" t="s">
        <v>32</v>
      </c>
      <c r="K138" s="3" t="s">
        <v>27</v>
      </c>
      <c r="L138" s="3">
        <v>8.2100000000000009</v>
      </c>
      <c r="M138" s="3">
        <v>7.48</v>
      </c>
      <c r="N138" s="3" t="s">
        <v>28</v>
      </c>
      <c r="O138" s="3">
        <v>6.41</v>
      </c>
      <c r="P138" s="3" t="s">
        <v>326</v>
      </c>
      <c r="Q138" s="3" t="s">
        <v>93</v>
      </c>
      <c r="R138" s="3"/>
    </row>
    <row r="139" spans="1:18" ht="79.5" customHeight="1" x14ac:dyDescent="0.35">
      <c r="A139" s="3" t="s">
        <v>323</v>
      </c>
      <c r="B139" s="3" t="s">
        <v>324</v>
      </c>
      <c r="C139" s="3">
        <v>2026</v>
      </c>
      <c r="D139" s="3" t="s">
        <v>325</v>
      </c>
      <c r="E139" s="3" t="s">
        <v>79</v>
      </c>
      <c r="F139" s="3" t="s">
        <v>22</v>
      </c>
      <c r="G139" s="3" t="s">
        <v>52</v>
      </c>
      <c r="H139" s="3" t="s">
        <v>24</v>
      </c>
      <c r="I139" s="3" t="s">
        <v>58</v>
      </c>
      <c r="J139" s="3" t="s">
        <v>26</v>
      </c>
      <c r="K139" s="3" t="s">
        <v>27</v>
      </c>
      <c r="L139" s="3">
        <v>6.1</v>
      </c>
      <c r="M139" s="3">
        <v>5.67</v>
      </c>
      <c r="N139" s="3" t="s">
        <v>28</v>
      </c>
      <c r="O139" s="3">
        <v>5.12</v>
      </c>
      <c r="P139" s="3" t="s">
        <v>326</v>
      </c>
      <c r="Q139" s="3" t="s">
        <v>93</v>
      </c>
      <c r="R139" s="3"/>
    </row>
    <row r="140" spans="1:18" ht="65.25" customHeight="1" x14ac:dyDescent="0.35">
      <c r="A140" s="2" t="s">
        <v>323</v>
      </c>
      <c r="B140" s="2" t="s">
        <v>324</v>
      </c>
      <c r="C140" s="2">
        <v>2026</v>
      </c>
      <c r="D140" s="2" t="s">
        <v>325</v>
      </c>
      <c r="E140" s="2" t="s">
        <v>51</v>
      </c>
      <c r="F140" s="2" t="s">
        <v>22</v>
      </c>
      <c r="G140" s="2" t="s">
        <v>52</v>
      </c>
      <c r="H140" s="2" t="s">
        <v>24</v>
      </c>
      <c r="I140" s="2" t="s">
        <v>58</v>
      </c>
      <c r="J140" s="2" t="s">
        <v>32</v>
      </c>
      <c r="K140" s="2" t="s">
        <v>27</v>
      </c>
      <c r="L140" s="2">
        <v>8.02</v>
      </c>
      <c r="M140" s="2">
        <v>7.26</v>
      </c>
      <c r="N140" s="2" t="s">
        <v>28</v>
      </c>
      <c r="O140" s="2">
        <v>5.9</v>
      </c>
      <c r="P140" s="2" t="s">
        <v>63</v>
      </c>
      <c r="Q140" s="2" t="s">
        <v>93</v>
      </c>
      <c r="R140" s="2"/>
    </row>
    <row r="141" spans="1:18" ht="60.75" customHeight="1" x14ac:dyDescent="0.35">
      <c r="A141" s="2" t="s">
        <v>323</v>
      </c>
      <c r="B141" s="2" t="s">
        <v>324</v>
      </c>
      <c r="C141" s="2">
        <v>2026</v>
      </c>
      <c r="D141" s="2" t="s">
        <v>325</v>
      </c>
      <c r="E141" s="2" t="s">
        <v>51</v>
      </c>
      <c r="F141" s="2" t="s">
        <v>22</v>
      </c>
      <c r="G141" s="2" t="s">
        <v>52</v>
      </c>
      <c r="H141" s="2" t="s">
        <v>24</v>
      </c>
      <c r="I141" s="2" t="s">
        <v>58</v>
      </c>
      <c r="J141" s="2" t="s">
        <v>26</v>
      </c>
      <c r="K141" s="2" t="s">
        <v>27</v>
      </c>
      <c r="L141" s="2">
        <v>6.18</v>
      </c>
      <c r="M141" s="2">
        <v>5.61</v>
      </c>
      <c r="N141" s="2" t="s">
        <v>28</v>
      </c>
      <c r="O141" s="2">
        <v>4.82</v>
      </c>
      <c r="P141" s="2" t="s">
        <v>63</v>
      </c>
      <c r="Q141" s="2" t="s">
        <v>93</v>
      </c>
      <c r="R141" s="2"/>
    </row>
    <row r="142" spans="1:18" ht="58.5" customHeight="1" x14ac:dyDescent="0.35">
      <c r="A142" s="2" t="s">
        <v>327</v>
      </c>
      <c r="B142" s="2" t="s">
        <v>328</v>
      </c>
      <c r="C142" s="2">
        <v>2026</v>
      </c>
      <c r="D142" s="2" t="s">
        <v>329</v>
      </c>
      <c r="E142" s="2" t="s">
        <v>79</v>
      </c>
      <c r="F142" s="2" t="s">
        <v>22</v>
      </c>
      <c r="G142" s="2" t="s">
        <v>52</v>
      </c>
      <c r="H142" s="2" t="s">
        <v>24</v>
      </c>
      <c r="I142" s="2" t="s">
        <v>58</v>
      </c>
      <c r="J142" s="2" t="s">
        <v>32</v>
      </c>
      <c r="K142" s="2" t="s">
        <v>27</v>
      </c>
      <c r="L142" s="2">
        <v>9.16</v>
      </c>
      <c r="M142" s="2">
        <v>10.01</v>
      </c>
      <c r="N142" s="2" t="s">
        <v>28</v>
      </c>
      <c r="O142" s="2">
        <v>8.0299999999999994</v>
      </c>
      <c r="P142" s="2" t="s">
        <v>176</v>
      </c>
      <c r="Q142" s="2" t="s">
        <v>93</v>
      </c>
      <c r="R142" s="2"/>
    </row>
    <row r="143" spans="1:18" ht="58.5" customHeight="1" x14ac:dyDescent="0.35">
      <c r="A143" s="2" t="s">
        <v>327</v>
      </c>
      <c r="B143" s="2" t="s">
        <v>328</v>
      </c>
      <c r="C143" s="2">
        <v>2026</v>
      </c>
      <c r="D143" s="2" t="s">
        <v>329</v>
      </c>
      <c r="E143" s="2" t="s">
        <v>51</v>
      </c>
      <c r="F143" s="2" t="s">
        <v>22</v>
      </c>
      <c r="G143" s="2" t="s">
        <v>52</v>
      </c>
      <c r="H143" s="2" t="s">
        <v>24</v>
      </c>
      <c r="I143" s="2" t="s">
        <v>58</v>
      </c>
      <c r="J143" s="2" t="s">
        <v>32</v>
      </c>
      <c r="K143" s="2" t="s">
        <v>27</v>
      </c>
      <c r="L143" s="2">
        <v>9.42</v>
      </c>
      <c r="M143" s="2">
        <v>10.050000000000001</v>
      </c>
      <c r="N143" s="2" t="s">
        <v>28</v>
      </c>
      <c r="O143" s="2">
        <v>7.77</v>
      </c>
      <c r="P143" s="2" t="s">
        <v>176</v>
      </c>
      <c r="Q143" s="2" t="s">
        <v>93</v>
      </c>
      <c r="R143" s="2"/>
    </row>
    <row r="144" spans="1:18" ht="43.5" customHeight="1" x14ac:dyDescent="0.35">
      <c r="A144" s="2" t="s">
        <v>327</v>
      </c>
      <c r="B144" s="2" t="s">
        <v>328</v>
      </c>
      <c r="C144" s="2">
        <v>2026</v>
      </c>
      <c r="D144" s="2" t="s">
        <v>329</v>
      </c>
      <c r="E144" s="2" t="s">
        <v>56</v>
      </c>
      <c r="F144" s="2" t="s">
        <v>330</v>
      </c>
      <c r="G144" s="2" t="s">
        <v>417</v>
      </c>
      <c r="H144" s="2" t="s">
        <v>24</v>
      </c>
      <c r="I144" s="2" t="s">
        <v>58</v>
      </c>
      <c r="J144" s="2" t="s">
        <v>252</v>
      </c>
      <c r="K144" s="2" t="s">
        <v>27</v>
      </c>
      <c r="L144" s="2">
        <v>73.12</v>
      </c>
      <c r="M144" s="2">
        <v>69.3</v>
      </c>
      <c r="N144" s="2" t="s">
        <v>28</v>
      </c>
      <c r="O144" s="2">
        <v>91.32</v>
      </c>
      <c r="P144" s="2" t="s">
        <v>176</v>
      </c>
      <c r="Q144" s="2" t="s">
        <v>93</v>
      </c>
      <c r="R144" s="2"/>
    </row>
    <row r="145" spans="1:18" ht="43.5" customHeight="1" x14ac:dyDescent="0.35">
      <c r="A145" s="2" t="s">
        <v>331</v>
      </c>
      <c r="B145" s="2" t="s">
        <v>332</v>
      </c>
      <c r="C145" s="2">
        <v>2018</v>
      </c>
      <c r="D145" s="2" t="s">
        <v>333</v>
      </c>
      <c r="E145" s="2" t="s">
        <v>334</v>
      </c>
      <c r="F145" s="2" t="s">
        <v>216</v>
      </c>
      <c r="G145" s="2" t="s">
        <v>414</v>
      </c>
      <c r="H145" s="2" t="s">
        <v>24</v>
      </c>
      <c r="I145" s="2" t="s">
        <v>25</v>
      </c>
      <c r="J145" s="2" t="s">
        <v>425</v>
      </c>
      <c r="K145" s="2" t="s">
        <v>27</v>
      </c>
      <c r="L145" s="2">
        <v>50</v>
      </c>
      <c r="M145" s="2">
        <v>46.3</v>
      </c>
      <c r="N145" s="2" t="s">
        <v>28</v>
      </c>
      <c r="O145" s="2">
        <v>44.44</v>
      </c>
      <c r="P145" s="2" t="s">
        <v>117</v>
      </c>
      <c r="Q145" s="2" t="s">
        <v>93</v>
      </c>
      <c r="R145" s="2" t="s">
        <v>335</v>
      </c>
    </row>
    <row r="146" spans="1:18" ht="57" customHeight="1" x14ac:dyDescent="0.35">
      <c r="A146" s="3" t="s">
        <v>336</v>
      </c>
      <c r="B146" s="3" t="s">
        <v>337</v>
      </c>
      <c r="C146" s="3">
        <v>2022</v>
      </c>
      <c r="D146" s="3" t="s">
        <v>338</v>
      </c>
      <c r="E146" s="3" t="s">
        <v>21</v>
      </c>
      <c r="F146" s="3" t="s">
        <v>22</v>
      </c>
      <c r="G146" s="3" t="s">
        <v>23</v>
      </c>
      <c r="H146" s="3" t="s">
        <v>339</v>
      </c>
      <c r="I146" s="3" t="s">
        <v>25</v>
      </c>
      <c r="J146" s="3" t="s">
        <v>32</v>
      </c>
      <c r="K146" s="3" t="s">
        <v>44</v>
      </c>
      <c r="L146" s="3">
        <v>4.8600000000000003</v>
      </c>
      <c r="M146" s="3">
        <v>5.76</v>
      </c>
      <c r="N146" s="3" t="s">
        <v>45</v>
      </c>
      <c r="O146" s="3">
        <v>3.78</v>
      </c>
      <c r="P146" s="3" t="s">
        <v>59</v>
      </c>
      <c r="Q146" s="3" t="s">
        <v>100</v>
      </c>
      <c r="R146" s="3"/>
    </row>
    <row r="147" spans="1:18" ht="56.25" customHeight="1" x14ac:dyDescent="0.35">
      <c r="A147" s="3" t="s">
        <v>336</v>
      </c>
      <c r="B147" s="3" t="s">
        <v>337</v>
      </c>
      <c r="C147" s="3">
        <v>2022</v>
      </c>
      <c r="D147" s="3" t="s">
        <v>338</v>
      </c>
      <c r="E147" s="3" t="s">
        <v>21</v>
      </c>
      <c r="F147" s="3" t="s">
        <v>22</v>
      </c>
      <c r="G147" s="3" t="s">
        <v>23</v>
      </c>
      <c r="H147" s="3" t="s">
        <v>339</v>
      </c>
      <c r="I147" s="3" t="s">
        <v>25</v>
      </c>
      <c r="J147" s="3" t="s">
        <v>26</v>
      </c>
      <c r="K147" s="3" t="s">
        <v>44</v>
      </c>
      <c r="L147" s="3">
        <v>3.92</v>
      </c>
      <c r="M147" s="3">
        <v>4.83</v>
      </c>
      <c r="N147" s="3" t="s">
        <v>45</v>
      </c>
      <c r="O147" s="3">
        <v>3.12</v>
      </c>
      <c r="P147" s="3" t="s">
        <v>59</v>
      </c>
      <c r="Q147" s="3" t="s">
        <v>100</v>
      </c>
      <c r="R147" s="3"/>
    </row>
    <row r="148" spans="1:18" ht="39.75" customHeight="1" x14ac:dyDescent="0.35">
      <c r="A148" s="2" t="s">
        <v>340</v>
      </c>
      <c r="B148" s="2" t="s">
        <v>341</v>
      </c>
      <c r="C148" s="2">
        <v>2013</v>
      </c>
      <c r="D148" s="2" t="s">
        <v>342</v>
      </c>
      <c r="E148" s="2" t="s">
        <v>79</v>
      </c>
      <c r="F148" s="2" t="s">
        <v>22</v>
      </c>
      <c r="G148" s="2" t="s">
        <v>52</v>
      </c>
      <c r="H148" s="2" t="s">
        <v>24</v>
      </c>
      <c r="I148" s="2" t="s">
        <v>58</v>
      </c>
      <c r="J148" s="2" t="s">
        <v>26</v>
      </c>
      <c r="K148" s="2" t="s">
        <v>27</v>
      </c>
      <c r="L148" s="2">
        <v>9.7799999999999994</v>
      </c>
      <c r="M148" s="2">
        <v>7.09</v>
      </c>
      <c r="N148" s="2" t="s">
        <v>28</v>
      </c>
      <c r="O148" s="2">
        <v>6.94</v>
      </c>
      <c r="P148" s="2" t="s">
        <v>46</v>
      </c>
      <c r="Q148" s="2" t="s">
        <v>93</v>
      </c>
      <c r="R148" s="2" t="s">
        <v>343</v>
      </c>
    </row>
    <row r="149" spans="1:18" ht="34.5" customHeight="1" x14ac:dyDescent="0.35">
      <c r="A149" s="2" t="s">
        <v>340</v>
      </c>
      <c r="B149" s="2" t="s">
        <v>341</v>
      </c>
      <c r="C149" s="2">
        <v>2013</v>
      </c>
      <c r="D149" s="2" t="s">
        <v>342</v>
      </c>
      <c r="E149" s="2" t="s">
        <v>79</v>
      </c>
      <c r="F149" s="2" t="s">
        <v>22</v>
      </c>
      <c r="G149" s="2" t="s">
        <v>52</v>
      </c>
      <c r="H149" s="2" t="s">
        <v>24</v>
      </c>
      <c r="I149" s="2" t="s">
        <v>58</v>
      </c>
      <c r="J149" s="2" t="s">
        <v>32</v>
      </c>
      <c r="K149" s="2" t="s">
        <v>27</v>
      </c>
      <c r="L149" s="2">
        <v>11.54</v>
      </c>
      <c r="M149" s="2">
        <v>8.82</v>
      </c>
      <c r="N149" s="2" t="s">
        <v>28</v>
      </c>
      <c r="O149" s="2">
        <v>8.5399999999999991</v>
      </c>
      <c r="P149" s="2" t="s">
        <v>46</v>
      </c>
      <c r="Q149" s="2" t="s">
        <v>93</v>
      </c>
      <c r="R149" s="2" t="s">
        <v>343</v>
      </c>
    </row>
    <row r="150" spans="1:18" ht="87" customHeight="1" x14ac:dyDescent="0.35">
      <c r="A150" s="3" t="s">
        <v>344</v>
      </c>
      <c r="B150" s="3" t="s">
        <v>345</v>
      </c>
      <c r="C150" s="3">
        <v>2017</v>
      </c>
      <c r="D150" s="3" t="s">
        <v>346</v>
      </c>
      <c r="E150" s="3" t="s">
        <v>21</v>
      </c>
      <c r="F150" s="3" t="s">
        <v>22</v>
      </c>
      <c r="G150" s="3" t="s">
        <v>23</v>
      </c>
      <c r="H150" s="3" t="s">
        <v>339</v>
      </c>
      <c r="I150" s="3" t="s">
        <v>25</v>
      </c>
      <c r="J150" s="3" t="s">
        <v>32</v>
      </c>
      <c r="K150" s="3" t="s">
        <v>44</v>
      </c>
      <c r="L150" s="3">
        <v>5.9829999999999997</v>
      </c>
      <c r="M150" s="3">
        <v>5.3799000000000001</v>
      </c>
      <c r="N150" s="3" t="s">
        <v>45</v>
      </c>
      <c r="O150" s="3">
        <v>5.3586</v>
      </c>
      <c r="P150" s="3" t="s">
        <v>347</v>
      </c>
      <c r="Q150" s="3" t="s">
        <v>100</v>
      </c>
      <c r="R150" s="3" t="s">
        <v>348</v>
      </c>
    </row>
    <row r="151" spans="1:18" ht="100.5" customHeight="1" x14ac:dyDescent="0.35">
      <c r="A151" s="3" t="s">
        <v>344</v>
      </c>
      <c r="B151" s="3" t="s">
        <v>345</v>
      </c>
      <c r="C151" s="3">
        <v>2017</v>
      </c>
      <c r="D151" s="3" t="s">
        <v>346</v>
      </c>
      <c r="E151" s="3" t="s">
        <v>21</v>
      </c>
      <c r="F151" s="3" t="s">
        <v>22</v>
      </c>
      <c r="G151" s="3" t="s">
        <v>23</v>
      </c>
      <c r="H151" s="3" t="s">
        <v>339</v>
      </c>
      <c r="I151" s="3" t="s">
        <v>25</v>
      </c>
      <c r="J151" s="3" t="s">
        <v>26</v>
      </c>
      <c r="K151" s="3" t="s">
        <v>44</v>
      </c>
      <c r="L151" s="3">
        <v>4.3714000000000004</v>
      </c>
      <c r="M151" s="3">
        <v>4.6570999999999998</v>
      </c>
      <c r="N151" s="3" t="s">
        <v>45</v>
      </c>
      <c r="O151" s="3">
        <v>4.3714000000000004</v>
      </c>
      <c r="P151" s="3" t="s">
        <v>347</v>
      </c>
      <c r="Q151" s="3" t="s">
        <v>100</v>
      </c>
      <c r="R151" s="3" t="s">
        <v>348</v>
      </c>
    </row>
    <row r="152" spans="1:18" ht="116.25" customHeight="1" x14ac:dyDescent="0.35">
      <c r="A152" s="2" t="s">
        <v>349</v>
      </c>
      <c r="B152" s="2" t="s">
        <v>350</v>
      </c>
      <c r="C152" s="2">
        <v>2014</v>
      </c>
      <c r="D152" s="2" t="s">
        <v>351</v>
      </c>
      <c r="E152" s="2" t="s">
        <v>51</v>
      </c>
      <c r="F152" s="2" t="s">
        <v>22</v>
      </c>
      <c r="G152" s="2" t="s">
        <v>52</v>
      </c>
      <c r="H152" s="2" t="s">
        <v>24</v>
      </c>
      <c r="I152" s="2" t="s">
        <v>58</v>
      </c>
      <c r="J152" s="2" t="s">
        <v>32</v>
      </c>
      <c r="K152" s="2" t="s">
        <v>27</v>
      </c>
      <c r="L152" s="2">
        <v>9.7899999999999991</v>
      </c>
      <c r="M152" s="2">
        <v>10.99</v>
      </c>
      <c r="N152" s="2" t="s">
        <v>28</v>
      </c>
      <c r="O152" s="2">
        <v>9.41</v>
      </c>
      <c r="P152" s="2" t="s">
        <v>63</v>
      </c>
      <c r="Q152" s="2" t="s">
        <v>93</v>
      </c>
      <c r="R152" s="2" t="s">
        <v>352</v>
      </c>
    </row>
    <row r="153" spans="1:18" ht="109.5" customHeight="1" x14ac:dyDescent="0.35">
      <c r="A153" s="2" t="s">
        <v>349</v>
      </c>
      <c r="B153" s="2" t="s">
        <v>350</v>
      </c>
      <c r="C153" s="2">
        <v>2014</v>
      </c>
      <c r="D153" s="2" t="s">
        <v>351</v>
      </c>
      <c r="E153" s="2" t="s">
        <v>51</v>
      </c>
      <c r="F153" s="2" t="s">
        <v>22</v>
      </c>
      <c r="G153" s="2" t="s">
        <v>52</v>
      </c>
      <c r="H153" s="2" t="s">
        <v>24</v>
      </c>
      <c r="I153" s="2" t="s">
        <v>58</v>
      </c>
      <c r="J153" s="2" t="s">
        <v>26</v>
      </c>
      <c r="K153" s="2" t="s">
        <v>27</v>
      </c>
      <c r="L153" s="2">
        <v>8.1999999999999993</v>
      </c>
      <c r="M153" s="2">
        <v>9.06</v>
      </c>
      <c r="N153" s="2" t="s">
        <v>28</v>
      </c>
      <c r="O153" s="2">
        <v>7.63</v>
      </c>
      <c r="P153" s="2" t="s">
        <v>63</v>
      </c>
      <c r="Q153" s="2" t="s">
        <v>93</v>
      </c>
      <c r="R153" s="2" t="s">
        <v>352</v>
      </c>
    </row>
    <row r="154" spans="1:18" ht="47.25" customHeight="1" x14ac:dyDescent="0.35">
      <c r="A154" s="2" t="s">
        <v>353</v>
      </c>
      <c r="B154" s="2" t="s">
        <v>354</v>
      </c>
      <c r="C154" s="2">
        <v>2014</v>
      </c>
      <c r="D154" s="2" t="s">
        <v>355</v>
      </c>
      <c r="E154" s="2" t="s">
        <v>79</v>
      </c>
      <c r="F154" s="2" t="s">
        <v>22</v>
      </c>
      <c r="G154" s="2" t="s">
        <v>52</v>
      </c>
      <c r="H154" s="2" t="s">
        <v>24</v>
      </c>
      <c r="I154" s="2" t="s">
        <v>58</v>
      </c>
      <c r="J154" s="2" t="s">
        <v>26</v>
      </c>
      <c r="K154" s="2" t="s">
        <v>27</v>
      </c>
      <c r="L154" s="2">
        <v>10.35</v>
      </c>
      <c r="M154" s="2">
        <v>8.9700000000000006</v>
      </c>
      <c r="N154" s="2" t="s">
        <v>28</v>
      </c>
      <c r="O154" s="2">
        <v>9.09</v>
      </c>
      <c r="P154" s="2" t="s">
        <v>123</v>
      </c>
      <c r="Q154" s="2" t="s">
        <v>93</v>
      </c>
      <c r="R154" s="2"/>
    </row>
    <row r="155" spans="1:18" ht="56.25" customHeight="1" x14ac:dyDescent="0.35">
      <c r="A155" s="3" t="s">
        <v>353</v>
      </c>
      <c r="B155" s="3" t="s">
        <v>354</v>
      </c>
      <c r="C155" s="3">
        <v>2014</v>
      </c>
      <c r="D155" s="3" t="s">
        <v>355</v>
      </c>
      <c r="E155" s="3" t="s">
        <v>79</v>
      </c>
      <c r="F155" s="3" t="s">
        <v>22</v>
      </c>
      <c r="G155" s="3" t="s">
        <v>52</v>
      </c>
      <c r="H155" s="3" t="s">
        <v>24</v>
      </c>
      <c r="I155" s="3" t="s">
        <v>58</v>
      </c>
      <c r="J155" s="3" t="s">
        <v>32</v>
      </c>
      <c r="K155" s="3" t="s">
        <v>27</v>
      </c>
      <c r="L155" s="3">
        <v>14.12</v>
      </c>
      <c r="M155" s="3">
        <v>10.82</v>
      </c>
      <c r="N155" s="3" t="s">
        <v>28</v>
      </c>
      <c r="O155" s="3">
        <v>11.19</v>
      </c>
      <c r="P155" s="3" t="s">
        <v>123</v>
      </c>
      <c r="Q155" s="3" t="s">
        <v>93</v>
      </c>
      <c r="R155" s="3"/>
    </row>
    <row r="156" spans="1:18" ht="82.5" customHeight="1" x14ac:dyDescent="0.35">
      <c r="A156" s="2" t="s">
        <v>356</v>
      </c>
      <c r="B156" s="2" t="s">
        <v>357</v>
      </c>
      <c r="C156" s="2">
        <v>2015</v>
      </c>
      <c r="D156" s="2" t="s">
        <v>358</v>
      </c>
      <c r="E156" s="2" t="s">
        <v>56</v>
      </c>
      <c r="F156" s="2" t="s">
        <v>22</v>
      </c>
      <c r="G156" s="2" t="s">
        <v>104</v>
      </c>
      <c r="H156" s="2" t="s">
        <v>24</v>
      </c>
      <c r="I156" s="2" t="s">
        <v>68</v>
      </c>
      <c r="J156" s="2" t="s">
        <v>39</v>
      </c>
      <c r="K156" s="2" t="s">
        <v>27</v>
      </c>
      <c r="L156" s="2">
        <v>69.73</v>
      </c>
      <c r="M156" s="2">
        <v>81.44</v>
      </c>
      <c r="N156" s="2" t="s">
        <v>28</v>
      </c>
      <c r="O156" s="2">
        <v>83.15</v>
      </c>
      <c r="P156" s="2" t="s">
        <v>359</v>
      </c>
      <c r="Q156" s="2" t="s">
        <v>93</v>
      </c>
      <c r="R156" s="2" t="s">
        <v>360</v>
      </c>
    </row>
    <row r="157" spans="1:18" ht="73.5" customHeight="1" x14ac:dyDescent="0.35">
      <c r="A157" s="3" t="s">
        <v>361</v>
      </c>
      <c r="B157" s="3" t="s">
        <v>362</v>
      </c>
      <c r="C157" s="3">
        <v>2017</v>
      </c>
      <c r="D157" s="3" t="s">
        <v>363</v>
      </c>
      <c r="E157" s="3" t="s">
        <v>56</v>
      </c>
      <c r="F157" s="3" t="s">
        <v>22</v>
      </c>
      <c r="G157" s="3" t="s">
        <v>104</v>
      </c>
      <c r="H157" s="3" t="s">
        <v>364</v>
      </c>
      <c r="I157" s="3" t="s">
        <v>68</v>
      </c>
      <c r="J157" s="3" t="s">
        <v>39</v>
      </c>
      <c r="K157" s="3" t="s">
        <v>365</v>
      </c>
      <c r="L157" s="3">
        <v>67.25</v>
      </c>
      <c r="M157" s="3">
        <v>72.59</v>
      </c>
      <c r="N157" s="3" t="s">
        <v>366</v>
      </c>
      <c r="O157" s="3">
        <v>78.67</v>
      </c>
      <c r="P157" s="3" t="s">
        <v>367</v>
      </c>
      <c r="Q157" s="3" t="s">
        <v>100</v>
      </c>
      <c r="R157" s="3" t="s">
        <v>368</v>
      </c>
    </row>
    <row r="158" spans="1:18" ht="82.5" customHeight="1" x14ac:dyDescent="0.35">
      <c r="A158" s="2" t="s">
        <v>369</v>
      </c>
      <c r="B158" s="2" t="s">
        <v>370</v>
      </c>
      <c r="C158" s="2">
        <v>2024</v>
      </c>
      <c r="D158" s="2" t="s">
        <v>371</v>
      </c>
      <c r="E158" s="2" t="s">
        <v>21</v>
      </c>
      <c r="F158" s="2" t="s">
        <v>22</v>
      </c>
      <c r="G158" s="2" t="s">
        <v>23</v>
      </c>
      <c r="H158" s="2" t="s">
        <v>43</v>
      </c>
      <c r="I158" s="2" t="s">
        <v>68</v>
      </c>
      <c r="J158" s="2" t="s">
        <v>37</v>
      </c>
      <c r="K158" s="2" t="s">
        <v>44</v>
      </c>
      <c r="L158" s="2">
        <v>0.74</v>
      </c>
      <c r="M158" s="2">
        <v>0.625</v>
      </c>
      <c r="N158" s="2" t="s">
        <v>45</v>
      </c>
      <c r="O158" s="2">
        <v>0.79</v>
      </c>
      <c r="P158" s="2" t="s">
        <v>372</v>
      </c>
      <c r="Q158" s="2" t="s">
        <v>100</v>
      </c>
      <c r="R158" s="2" t="s">
        <v>373</v>
      </c>
    </row>
    <row r="159" spans="1:18" ht="128.25" customHeight="1" x14ac:dyDescent="0.35">
      <c r="A159" s="3" t="s">
        <v>374</v>
      </c>
      <c r="B159" s="3" t="s">
        <v>375</v>
      </c>
      <c r="C159" s="3">
        <v>2024</v>
      </c>
      <c r="D159" s="3" t="s">
        <v>376</v>
      </c>
      <c r="E159" s="3" t="s">
        <v>21</v>
      </c>
      <c r="F159" s="3" t="s">
        <v>22</v>
      </c>
      <c r="G159" s="3" t="s">
        <v>23</v>
      </c>
      <c r="H159" s="3" t="s">
        <v>24</v>
      </c>
      <c r="I159" s="3" t="s">
        <v>25</v>
      </c>
      <c r="J159" s="3" t="s">
        <v>37</v>
      </c>
      <c r="K159" s="3" t="s">
        <v>27</v>
      </c>
      <c r="L159" s="3">
        <v>0.49</v>
      </c>
      <c r="M159" s="3">
        <v>0.62</v>
      </c>
      <c r="N159" s="3" t="s">
        <v>28</v>
      </c>
      <c r="O159" s="3">
        <v>0.67</v>
      </c>
      <c r="P159" s="3" t="s">
        <v>117</v>
      </c>
      <c r="Q159" s="3" t="s">
        <v>93</v>
      </c>
      <c r="R159" s="3"/>
    </row>
    <row r="160" spans="1:18" ht="111" customHeight="1" x14ac:dyDescent="0.35">
      <c r="A160" s="2" t="s">
        <v>374</v>
      </c>
      <c r="B160" s="2" t="s">
        <v>375</v>
      </c>
      <c r="C160" s="2">
        <v>2024</v>
      </c>
      <c r="D160" s="2" t="s">
        <v>376</v>
      </c>
      <c r="E160" s="2" t="s">
        <v>33</v>
      </c>
      <c r="F160" s="2" t="s">
        <v>22</v>
      </c>
      <c r="G160" s="2" t="s">
        <v>23</v>
      </c>
      <c r="H160" s="2" t="s">
        <v>24</v>
      </c>
      <c r="I160" s="2" t="s">
        <v>25</v>
      </c>
      <c r="J160" s="2" t="s">
        <v>37</v>
      </c>
      <c r="K160" s="2" t="s">
        <v>27</v>
      </c>
      <c r="L160" s="2">
        <v>0.51</v>
      </c>
      <c r="M160" s="2">
        <v>0.5</v>
      </c>
      <c r="N160" s="2" t="s">
        <v>28</v>
      </c>
      <c r="O160" s="2">
        <v>0.56000000000000005</v>
      </c>
      <c r="P160" s="2" t="s">
        <v>46</v>
      </c>
      <c r="Q160" s="2" t="s">
        <v>93</v>
      </c>
      <c r="R160" s="2"/>
    </row>
    <row r="161" spans="1:18" ht="90" customHeight="1" x14ac:dyDescent="0.35">
      <c r="A161" s="3" t="s">
        <v>377</v>
      </c>
      <c r="B161" s="3" t="s">
        <v>378</v>
      </c>
      <c r="C161" s="3">
        <v>2023</v>
      </c>
      <c r="D161" s="3" t="s">
        <v>379</v>
      </c>
      <c r="E161" s="3" t="s">
        <v>21</v>
      </c>
      <c r="F161" s="3" t="s">
        <v>22</v>
      </c>
      <c r="G161" s="3" t="s">
        <v>23</v>
      </c>
      <c r="H161" s="3" t="s">
        <v>339</v>
      </c>
      <c r="I161" s="3" t="s">
        <v>25</v>
      </c>
      <c r="J161" s="3" t="s">
        <v>37</v>
      </c>
      <c r="K161" s="3" t="s">
        <v>44</v>
      </c>
      <c r="L161" s="3">
        <v>0.91869999999999996</v>
      </c>
      <c r="M161" s="3" t="s">
        <v>380</v>
      </c>
      <c r="N161" s="3" t="s">
        <v>45</v>
      </c>
      <c r="O161" s="3">
        <v>0.94089999999999996</v>
      </c>
      <c r="P161" s="3" t="s">
        <v>113</v>
      </c>
      <c r="Q161" s="3" t="s">
        <v>381</v>
      </c>
      <c r="R161" s="3" t="s">
        <v>382</v>
      </c>
    </row>
    <row r="162" spans="1:18" ht="90" customHeight="1" x14ac:dyDescent="0.35">
      <c r="A162" s="3" t="s">
        <v>383</v>
      </c>
      <c r="B162" s="3" t="s">
        <v>384</v>
      </c>
      <c r="C162" s="3">
        <v>2025</v>
      </c>
      <c r="D162" s="3" t="s">
        <v>385</v>
      </c>
      <c r="E162" s="3" t="s">
        <v>56</v>
      </c>
      <c r="F162" s="3" t="s">
        <v>184</v>
      </c>
      <c r="G162" s="3" t="s">
        <v>419</v>
      </c>
      <c r="H162" s="3" t="s">
        <v>24</v>
      </c>
      <c r="I162" s="3" t="s">
        <v>58</v>
      </c>
      <c r="J162" s="3" t="s">
        <v>37</v>
      </c>
      <c r="K162" s="3" t="s">
        <v>27</v>
      </c>
      <c r="L162" s="3">
        <v>74.42</v>
      </c>
      <c r="M162" s="3">
        <v>76.599999999999994</v>
      </c>
      <c r="N162" s="3" t="s">
        <v>28</v>
      </c>
      <c r="O162" s="3">
        <v>84.44</v>
      </c>
      <c r="P162" s="3" t="s">
        <v>59</v>
      </c>
      <c r="Q162" s="3" t="s">
        <v>93</v>
      </c>
      <c r="R162" s="3" t="s">
        <v>386</v>
      </c>
    </row>
    <row r="163" spans="1:18" ht="105" customHeight="1" x14ac:dyDescent="0.35">
      <c r="A163" s="2" t="s">
        <v>383</v>
      </c>
      <c r="B163" s="2" t="s">
        <v>384</v>
      </c>
      <c r="C163" s="2">
        <v>2025</v>
      </c>
      <c r="D163" s="2" t="s">
        <v>385</v>
      </c>
      <c r="E163" s="2" t="s">
        <v>56</v>
      </c>
      <c r="F163" s="2" t="s">
        <v>184</v>
      </c>
      <c r="G163" s="2" t="s">
        <v>419</v>
      </c>
      <c r="H163" s="2" t="s">
        <v>24</v>
      </c>
      <c r="I163" s="2" t="s">
        <v>58</v>
      </c>
      <c r="J163" s="2" t="s">
        <v>37</v>
      </c>
      <c r="K163" s="2" t="s">
        <v>27</v>
      </c>
      <c r="L163" s="2">
        <v>84.04</v>
      </c>
      <c r="M163" s="2">
        <v>76.599999999999994</v>
      </c>
      <c r="N163" s="2" t="s">
        <v>28</v>
      </c>
      <c r="O163" s="2">
        <v>87.52</v>
      </c>
      <c r="P163" s="2" t="s">
        <v>59</v>
      </c>
      <c r="Q163" s="2" t="s">
        <v>93</v>
      </c>
      <c r="R163" s="2" t="s">
        <v>387</v>
      </c>
    </row>
    <row r="164" spans="1:18" ht="96" customHeight="1" x14ac:dyDescent="0.35">
      <c r="A164" s="3" t="s">
        <v>383</v>
      </c>
      <c r="B164" s="3" t="s">
        <v>384</v>
      </c>
      <c r="C164" s="3">
        <v>2025</v>
      </c>
      <c r="D164" s="3" t="s">
        <v>385</v>
      </c>
      <c r="E164" s="3" t="s">
        <v>56</v>
      </c>
      <c r="F164" s="3" t="s">
        <v>184</v>
      </c>
      <c r="G164" s="3" t="s">
        <v>419</v>
      </c>
      <c r="H164" s="3" t="s">
        <v>24</v>
      </c>
      <c r="I164" s="3" t="s">
        <v>58</v>
      </c>
      <c r="J164" s="3" t="s">
        <v>37</v>
      </c>
      <c r="K164" s="3" t="s">
        <v>27</v>
      </c>
      <c r="L164" s="3">
        <v>75</v>
      </c>
      <c r="M164" s="3">
        <v>60.89</v>
      </c>
      <c r="N164" s="3" t="s">
        <v>28</v>
      </c>
      <c r="O164" s="3">
        <v>76.38</v>
      </c>
      <c r="P164" s="3" t="s">
        <v>59</v>
      </c>
      <c r="Q164" s="3" t="s">
        <v>93</v>
      </c>
      <c r="R164" s="3" t="s">
        <v>388</v>
      </c>
    </row>
    <row r="165" spans="1:18" ht="96" customHeight="1" x14ac:dyDescent="0.35">
      <c r="A165" s="3" t="s">
        <v>383</v>
      </c>
      <c r="B165" s="3" t="s">
        <v>384</v>
      </c>
      <c r="C165" s="3">
        <v>2025</v>
      </c>
      <c r="D165" s="3" t="s">
        <v>385</v>
      </c>
      <c r="E165" s="3" t="s">
        <v>56</v>
      </c>
      <c r="F165" s="3" t="s">
        <v>184</v>
      </c>
      <c r="G165" s="3" t="s">
        <v>389</v>
      </c>
      <c r="H165" s="3" t="s">
        <v>24</v>
      </c>
      <c r="I165" s="3" t="s">
        <v>58</v>
      </c>
      <c r="J165" s="3" t="s">
        <v>32</v>
      </c>
      <c r="K165" s="3" t="s">
        <v>27</v>
      </c>
      <c r="L165" s="3">
        <v>7.43</v>
      </c>
      <c r="M165" s="3">
        <v>5.83</v>
      </c>
      <c r="N165" s="3" t="s">
        <v>28</v>
      </c>
      <c r="O165" s="3">
        <v>7.17</v>
      </c>
      <c r="P165" s="3" t="s">
        <v>81</v>
      </c>
      <c r="Q165" s="3" t="s">
        <v>93</v>
      </c>
      <c r="R165" s="3" t="s">
        <v>389</v>
      </c>
    </row>
    <row r="166" spans="1:18" ht="96" customHeight="1" x14ac:dyDescent="0.35">
      <c r="A166" s="3" t="s">
        <v>383</v>
      </c>
      <c r="B166" s="3" t="s">
        <v>384</v>
      </c>
      <c r="C166" s="3">
        <v>2025</v>
      </c>
      <c r="D166" s="3" t="s">
        <v>385</v>
      </c>
      <c r="E166" s="3" t="s">
        <v>56</v>
      </c>
      <c r="F166" s="3" t="s">
        <v>184</v>
      </c>
      <c r="G166" s="3" t="s">
        <v>390</v>
      </c>
      <c r="H166" s="3" t="s">
        <v>24</v>
      </c>
      <c r="I166" s="3" t="s">
        <v>58</v>
      </c>
      <c r="J166" s="3" t="s">
        <v>32</v>
      </c>
      <c r="K166" s="3" t="s">
        <v>27</v>
      </c>
      <c r="L166" s="3">
        <v>52.62</v>
      </c>
      <c r="M166" s="3">
        <v>23.02</v>
      </c>
      <c r="N166" s="3" t="s">
        <v>28</v>
      </c>
      <c r="O166" s="3">
        <v>21.22</v>
      </c>
      <c r="P166" s="3" t="s">
        <v>81</v>
      </c>
      <c r="Q166" s="3" t="s">
        <v>93</v>
      </c>
      <c r="R166" s="3" t="s">
        <v>390</v>
      </c>
    </row>
    <row r="167" spans="1:18" ht="105" customHeight="1" x14ac:dyDescent="0.35">
      <c r="A167" s="2" t="s">
        <v>391</v>
      </c>
      <c r="B167" s="2" t="s">
        <v>392</v>
      </c>
      <c r="C167" s="2">
        <v>2019</v>
      </c>
      <c r="D167" s="2" t="s">
        <v>393</v>
      </c>
      <c r="E167" s="2" t="s">
        <v>56</v>
      </c>
      <c r="F167" s="2" t="s">
        <v>22</v>
      </c>
      <c r="G167" s="2" t="s">
        <v>273</v>
      </c>
      <c r="H167" s="2" t="s">
        <v>24</v>
      </c>
      <c r="I167" s="2" t="s">
        <v>394</v>
      </c>
      <c r="J167" s="2" t="s">
        <v>32</v>
      </c>
      <c r="K167" s="2" t="s">
        <v>27</v>
      </c>
      <c r="L167" s="2">
        <v>7.21</v>
      </c>
      <c r="M167" s="2">
        <f>(6.54+6.18)/2</f>
        <v>6.3599999999999994</v>
      </c>
      <c r="N167" s="2" t="s">
        <v>28</v>
      </c>
      <c r="O167" s="2">
        <v>5.49</v>
      </c>
      <c r="P167" s="2" t="s">
        <v>63</v>
      </c>
      <c r="Q167" s="2" t="s">
        <v>93</v>
      </c>
      <c r="R167" s="2"/>
    </row>
    <row r="168" spans="1:18" ht="96" customHeight="1" x14ac:dyDescent="0.35">
      <c r="A168" s="3" t="s">
        <v>430</v>
      </c>
      <c r="B168" s="3" t="s">
        <v>431</v>
      </c>
      <c r="C168" s="3">
        <v>2013</v>
      </c>
      <c r="D168" s="3" t="s">
        <v>432</v>
      </c>
      <c r="E168" s="3" t="s">
        <v>79</v>
      </c>
      <c r="F168" s="3" t="s">
        <v>22</v>
      </c>
      <c r="G168" s="3" t="s">
        <v>52</v>
      </c>
      <c r="H168" s="3" t="s">
        <v>27</v>
      </c>
      <c r="I168" s="3" t="s">
        <v>58</v>
      </c>
      <c r="J168" s="3" t="s">
        <v>32</v>
      </c>
      <c r="K168" s="3" t="s">
        <v>27</v>
      </c>
      <c r="L168" s="3">
        <v>10.17</v>
      </c>
      <c r="M168" s="3">
        <v>13.51</v>
      </c>
      <c r="N168" s="3" t="s">
        <v>28</v>
      </c>
      <c r="O168" s="3">
        <v>10.62</v>
      </c>
      <c r="P168" s="3" t="s">
        <v>433</v>
      </c>
      <c r="Q168" s="3" t="s">
        <v>93</v>
      </c>
      <c r="R168" s="3" t="s">
        <v>434</v>
      </c>
    </row>
    <row r="169" spans="1:18" ht="105" customHeight="1" x14ac:dyDescent="0.35">
      <c r="A169" s="2" t="s">
        <v>395</v>
      </c>
      <c r="B169" s="2" t="s">
        <v>396</v>
      </c>
      <c r="C169" s="2">
        <v>2024</v>
      </c>
      <c r="D169" s="2" t="s">
        <v>397</v>
      </c>
      <c r="E169" s="2" t="s">
        <v>33</v>
      </c>
      <c r="F169" s="2" t="s">
        <v>22</v>
      </c>
      <c r="G169" s="2" t="s">
        <v>23</v>
      </c>
      <c r="H169" s="2" t="s">
        <v>232</v>
      </c>
      <c r="I169" s="2" t="s">
        <v>25</v>
      </c>
      <c r="J169" s="2" t="s">
        <v>26</v>
      </c>
      <c r="K169" s="2" t="s">
        <v>235</v>
      </c>
      <c r="L169" s="2">
        <v>3.86</v>
      </c>
      <c r="M169" s="2">
        <v>4.22</v>
      </c>
      <c r="N169" s="2" t="s">
        <v>236</v>
      </c>
      <c r="O169" s="2">
        <v>3.76</v>
      </c>
      <c r="P169" s="2" t="s">
        <v>398</v>
      </c>
      <c r="Q169" s="2" t="s">
        <v>93</v>
      </c>
      <c r="R169" s="2" t="s">
        <v>399</v>
      </c>
    </row>
    <row r="170" spans="1:18" ht="105" customHeight="1" x14ac:dyDescent="0.35">
      <c r="A170" s="2" t="s">
        <v>395</v>
      </c>
      <c r="B170" s="2" t="s">
        <v>396</v>
      </c>
      <c r="C170" s="2">
        <v>2024</v>
      </c>
      <c r="D170" s="2" t="s">
        <v>397</v>
      </c>
      <c r="E170" s="2" t="s">
        <v>33</v>
      </c>
      <c r="F170" s="2" t="s">
        <v>22</v>
      </c>
      <c r="G170" s="2" t="s">
        <v>23</v>
      </c>
      <c r="H170" s="2" t="s">
        <v>232</v>
      </c>
      <c r="I170" s="2" t="s">
        <v>25</v>
      </c>
      <c r="J170" s="2" t="s">
        <v>32</v>
      </c>
      <c r="K170" s="2" t="s">
        <v>235</v>
      </c>
      <c r="L170" s="2">
        <v>4.66</v>
      </c>
      <c r="M170" s="2">
        <v>4.9800000000000004</v>
      </c>
      <c r="N170" s="2" t="s">
        <v>236</v>
      </c>
      <c r="O170" s="2">
        <v>4.53</v>
      </c>
      <c r="P170" s="2" t="s">
        <v>398</v>
      </c>
      <c r="Q170" s="2" t="s">
        <v>93</v>
      </c>
      <c r="R170" s="2" t="s">
        <v>399</v>
      </c>
    </row>
    <row r="171" spans="1:18" ht="25.5" customHeight="1" x14ac:dyDescent="0.35">
      <c r="A171" s="3" t="s">
        <v>400</v>
      </c>
      <c r="B171" s="3" t="s">
        <v>401</v>
      </c>
      <c r="C171" s="3">
        <v>2024</v>
      </c>
      <c r="D171" s="3"/>
      <c r="E171" s="3" t="s">
        <v>79</v>
      </c>
      <c r="F171" s="3" t="s">
        <v>22</v>
      </c>
      <c r="G171" s="3" t="s">
        <v>52</v>
      </c>
      <c r="H171" s="3" t="s">
        <v>24</v>
      </c>
      <c r="I171" s="3" t="s">
        <v>68</v>
      </c>
      <c r="J171" s="3" t="s">
        <v>26</v>
      </c>
      <c r="K171" s="3" t="s">
        <v>27</v>
      </c>
      <c r="L171" s="3">
        <v>6.69</v>
      </c>
      <c r="M171" s="3">
        <v>5.94</v>
      </c>
      <c r="N171" s="3" t="s">
        <v>28</v>
      </c>
      <c r="O171" s="3">
        <v>5.35</v>
      </c>
      <c r="P171" s="3" t="s">
        <v>55</v>
      </c>
      <c r="Q171" s="3" t="s">
        <v>93</v>
      </c>
      <c r="R171" s="3"/>
    </row>
    <row r="172" spans="1:18" ht="42" customHeight="1" x14ac:dyDescent="0.35">
      <c r="A172" s="3" t="s">
        <v>400</v>
      </c>
      <c r="B172" s="3" t="s">
        <v>401</v>
      </c>
      <c r="C172" s="3">
        <v>2024</v>
      </c>
      <c r="D172" s="3"/>
      <c r="E172" s="3" t="s">
        <v>79</v>
      </c>
      <c r="F172" s="3" t="s">
        <v>22</v>
      </c>
      <c r="G172" s="3" t="s">
        <v>52</v>
      </c>
      <c r="H172" s="3" t="s">
        <v>24</v>
      </c>
      <c r="I172" s="3" t="s">
        <v>68</v>
      </c>
      <c r="J172" s="3" t="s">
        <v>32</v>
      </c>
      <c r="K172" s="3" t="s">
        <v>27</v>
      </c>
      <c r="L172" s="3">
        <v>8.67</v>
      </c>
      <c r="M172" s="3">
        <v>7.97</v>
      </c>
      <c r="N172" s="3" t="s">
        <v>28</v>
      </c>
      <c r="O172" s="3">
        <v>6.97</v>
      </c>
      <c r="P172" s="3" t="s">
        <v>55</v>
      </c>
      <c r="Q172" s="3" t="s">
        <v>93</v>
      </c>
      <c r="R172" s="3"/>
    </row>
    <row r="173" spans="1:18" ht="39" customHeight="1" x14ac:dyDescent="0.35">
      <c r="A173" s="3" t="s">
        <v>400</v>
      </c>
      <c r="B173" s="3" t="s">
        <v>401</v>
      </c>
      <c r="C173" s="3">
        <v>2024</v>
      </c>
      <c r="D173" s="3"/>
      <c r="E173" s="3" t="s">
        <v>51</v>
      </c>
      <c r="F173" s="3" t="s">
        <v>22</v>
      </c>
      <c r="G173" s="3" t="s">
        <v>52</v>
      </c>
      <c r="H173" s="3" t="s">
        <v>24</v>
      </c>
      <c r="I173" s="3" t="s">
        <v>68</v>
      </c>
      <c r="J173" s="3" t="s">
        <v>26</v>
      </c>
      <c r="K173" s="3" t="s">
        <v>27</v>
      </c>
      <c r="L173" s="3">
        <v>7.31</v>
      </c>
      <c r="M173" s="3">
        <v>5.35</v>
      </c>
      <c r="N173" s="3" t="s">
        <v>28</v>
      </c>
      <c r="O173" s="3">
        <v>5.14</v>
      </c>
      <c r="P173" s="3" t="s">
        <v>59</v>
      </c>
      <c r="Q173" s="3" t="s">
        <v>93</v>
      </c>
      <c r="R173" s="3"/>
    </row>
    <row r="174" spans="1:18" ht="46.5" customHeight="1" x14ac:dyDescent="0.35">
      <c r="A174" s="3" t="s">
        <v>400</v>
      </c>
      <c r="B174" s="3" t="s">
        <v>401</v>
      </c>
      <c r="C174" s="3">
        <v>2024</v>
      </c>
      <c r="D174" s="3"/>
      <c r="E174" s="3" t="s">
        <v>51</v>
      </c>
      <c r="F174" s="3" t="s">
        <v>22</v>
      </c>
      <c r="G174" s="3" t="s">
        <v>52</v>
      </c>
      <c r="H174" s="3" t="s">
        <v>24</v>
      </c>
      <c r="I174" s="3" t="s">
        <v>68</v>
      </c>
      <c r="J174" s="3" t="s">
        <v>32</v>
      </c>
      <c r="K174" s="3" t="s">
        <v>27</v>
      </c>
      <c r="L174" s="3">
        <v>9.5500000000000007</v>
      </c>
      <c r="M174" s="3">
        <v>7.31</v>
      </c>
      <c r="N174" s="3" t="s">
        <v>28</v>
      </c>
      <c r="O174" s="3">
        <v>6.95</v>
      </c>
      <c r="P174" s="3" t="s">
        <v>59</v>
      </c>
      <c r="Q174" s="3" t="s">
        <v>93</v>
      </c>
      <c r="R174" s="3"/>
    </row>
    <row r="175" spans="1:18" ht="28.5" customHeight="1" x14ac:dyDescent="0.35">
      <c r="A175" s="3" t="s">
        <v>400</v>
      </c>
      <c r="B175" s="3" t="s">
        <v>401</v>
      </c>
      <c r="C175" s="3">
        <v>2024</v>
      </c>
      <c r="D175" s="3"/>
      <c r="E175" s="3" t="s">
        <v>21</v>
      </c>
      <c r="F175" s="3" t="s">
        <v>22</v>
      </c>
      <c r="G175" s="3" t="s">
        <v>23</v>
      </c>
      <c r="H175" s="3" t="s">
        <v>24</v>
      </c>
      <c r="I175" s="3" t="s">
        <v>25</v>
      </c>
      <c r="J175" s="3" t="s">
        <v>26</v>
      </c>
      <c r="K175" s="3" t="s">
        <v>27</v>
      </c>
      <c r="L175" s="3">
        <v>4.88</v>
      </c>
      <c r="M175" s="3">
        <v>4.9800000000000004</v>
      </c>
      <c r="N175" s="3" t="s">
        <v>28</v>
      </c>
      <c r="O175" s="3">
        <v>4.79</v>
      </c>
      <c r="P175" s="3" t="s">
        <v>38</v>
      </c>
      <c r="Q175" s="3" t="s">
        <v>93</v>
      </c>
      <c r="R175" s="3"/>
    </row>
    <row r="176" spans="1:18" ht="19.5" customHeight="1" x14ac:dyDescent="0.35">
      <c r="A176" s="3" t="s">
        <v>400</v>
      </c>
      <c r="B176" s="3" t="s">
        <v>401</v>
      </c>
      <c r="C176" s="3">
        <v>2024</v>
      </c>
      <c r="D176" s="3"/>
      <c r="E176" s="3" t="s">
        <v>21</v>
      </c>
      <c r="F176" s="3" t="s">
        <v>22</v>
      </c>
      <c r="G176" s="3" t="s">
        <v>23</v>
      </c>
      <c r="H176" s="3" t="s">
        <v>24</v>
      </c>
      <c r="I176" s="3" t="s">
        <v>25</v>
      </c>
      <c r="J176" s="3" t="s">
        <v>32</v>
      </c>
      <c r="K176" s="3" t="s">
        <v>27</v>
      </c>
      <c r="L176" s="3">
        <v>5.81</v>
      </c>
      <c r="M176" s="3">
        <v>6.04</v>
      </c>
      <c r="N176" s="3" t="s">
        <v>28</v>
      </c>
      <c r="O176" s="3">
        <v>5.81</v>
      </c>
      <c r="P176" s="3" t="s">
        <v>38</v>
      </c>
      <c r="Q176" s="3" t="s">
        <v>93</v>
      </c>
      <c r="R176" s="3"/>
    </row>
    <row r="177" spans="1:18" ht="36" customHeight="1" x14ac:dyDescent="0.35">
      <c r="A177" s="3" t="s">
        <v>400</v>
      </c>
      <c r="B177" s="3" t="s">
        <v>401</v>
      </c>
      <c r="C177" s="3">
        <v>2024</v>
      </c>
      <c r="D177" s="3"/>
      <c r="E177" s="3" t="s">
        <v>33</v>
      </c>
      <c r="F177" s="3" t="s">
        <v>22</v>
      </c>
      <c r="G177" s="3" t="s">
        <v>23</v>
      </c>
      <c r="H177" s="3" t="s">
        <v>24</v>
      </c>
      <c r="I177" s="3" t="s">
        <v>25</v>
      </c>
      <c r="J177" s="3" t="s">
        <v>26</v>
      </c>
      <c r="K177" s="3" t="s">
        <v>27</v>
      </c>
      <c r="L177" s="3">
        <v>5.33</v>
      </c>
      <c r="M177" s="3">
        <v>5.36</v>
      </c>
      <c r="N177" s="3" t="s">
        <v>28</v>
      </c>
      <c r="O177" s="3">
        <v>5.31</v>
      </c>
      <c r="P177" s="3" t="s">
        <v>128</v>
      </c>
      <c r="Q177" s="3" t="s">
        <v>93</v>
      </c>
      <c r="R177" s="3"/>
    </row>
    <row r="178" spans="1:18" ht="34.5" customHeight="1" x14ac:dyDescent="0.35">
      <c r="A178" s="3" t="s">
        <v>400</v>
      </c>
      <c r="B178" s="3" t="s">
        <v>401</v>
      </c>
      <c r="C178" s="3">
        <v>2024</v>
      </c>
      <c r="D178" s="3"/>
      <c r="E178" s="3" t="s">
        <v>33</v>
      </c>
      <c r="F178" s="3" t="s">
        <v>22</v>
      </c>
      <c r="G178" s="3" t="s">
        <v>23</v>
      </c>
      <c r="H178" s="3" t="s">
        <v>24</v>
      </c>
      <c r="I178" s="3" t="s">
        <v>25</v>
      </c>
      <c r="J178" s="3" t="s">
        <v>32</v>
      </c>
      <c r="K178" s="3" t="s">
        <v>27</v>
      </c>
      <c r="L178" s="3">
        <v>6.47</v>
      </c>
      <c r="M178" s="3">
        <v>6.41</v>
      </c>
      <c r="N178" s="3" t="s">
        <v>28</v>
      </c>
      <c r="O178" s="3">
        <v>6.37</v>
      </c>
      <c r="P178" s="3" t="s">
        <v>128</v>
      </c>
      <c r="Q178" s="3" t="s">
        <v>93</v>
      </c>
      <c r="R178" s="3"/>
    </row>
    <row r="179" spans="1:18" ht="31.5" customHeight="1" x14ac:dyDescent="0.35">
      <c r="A179" s="3" t="s">
        <v>400</v>
      </c>
      <c r="B179" s="3" t="s">
        <v>401</v>
      </c>
      <c r="C179" s="3">
        <v>2024</v>
      </c>
      <c r="D179" s="3"/>
      <c r="E179" s="3" t="s">
        <v>80</v>
      </c>
      <c r="F179" s="3" t="s">
        <v>22</v>
      </c>
      <c r="G179" s="3" t="s">
        <v>52</v>
      </c>
      <c r="H179" s="3" t="s">
        <v>24</v>
      </c>
      <c r="I179" s="3" t="s">
        <v>25</v>
      </c>
      <c r="J179" s="3" t="s">
        <v>26</v>
      </c>
      <c r="K179" s="3" t="s">
        <v>27</v>
      </c>
      <c r="L179" s="3">
        <v>6.55</v>
      </c>
      <c r="M179" s="3">
        <v>6.35</v>
      </c>
      <c r="N179" s="3" t="s">
        <v>28</v>
      </c>
      <c r="O179" s="3">
        <v>6.2</v>
      </c>
      <c r="P179" s="3" t="s">
        <v>402</v>
      </c>
      <c r="Q179" s="3" t="s">
        <v>93</v>
      </c>
      <c r="R179" s="3"/>
    </row>
    <row r="180" spans="1:18" ht="25.5" customHeight="1" x14ac:dyDescent="0.35">
      <c r="A180" s="3" t="s">
        <v>400</v>
      </c>
      <c r="B180" s="3" t="s">
        <v>401</v>
      </c>
      <c r="C180" s="3">
        <v>2024</v>
      </c>
      <c r="D180" s="3"/>
      <c r="E180" s="3" t="s">
        <v>80</v>
      </c>
      <c r="F180" s="3" t="s">
        <v>22</v>
      </c>
      <c r="G180" s="3" t="s">
        <v>52</v>
      </c>
      <c r="H180" s="3" t="s">
        <v>24</v>
      </c>
      <c r="I180" s="3" t="s">
        <v>25</v>
      </c>
      <c r="J180" s="3" t="s">
        <v>32</v>
      </c>
      <c r="K180" s="3" t="s">
        <v>27</v>
      </c>
      <c r="L180" s="3">
        <v>8.89</v>
      </c>
      <c r="M180" s="3">
        <v>9.34</v>
      </c>
      <c r="N180" s="3" t="s">
        <v>28</v>
      </c>
      <c r="O180" s="3">
        <v>8.84</v>
      </c>
      <c r="P180" s="3" t="s">
        <v>402</v>
      </c>
      <c r="Q180" s="3" t="s">
        <v>93</v>
      </c>
      <c r="R180" s="3"/>
    </row>
    <row r="181" spans="1:18" ht="105" customHeight="1" x14ac:dyDescent="0.35">
      <c r="A181" s="2" t="s">
        <v>426</v>
      </c>
      <c r="B181" s="2" t="s">
        <v>427</v>
      </c>
      <c r="C181" s="2">
        <v>2021</v>
      </c>
      <c r="D181" s="2" t="s">
        <v>428</v>
      </c>
      <c r="E181" s="2" t="s">
        <v>21</v>
      </c>
      <c r="F181" s="2" t="s">
        <v>22</v>
      </c>
      <c r="G181" s="2" t="s">
        <v>23</v>
      </c>
      <c r="H181" s="2" t="s">
        <v>24</v>
      </c>
      <c r="I181" s="2" t="s">
        <v>25</v>
      </c>
      <c r="J181" s="2" t="s">
        <v>32</v>
      </c>
      <c r="K181" s="2" t="s">
        <v>27</v>
      </c>
      <c r="L181" s="2">
        <v>0.49</v>
      </c>
      <c r="M181" s="2"/>
      <c r="N181" s="2" t="s">
        <v>28</v>
      </c>
      <c r="O181" s="2">
        <v>0.42</v>
      </c>
      <c r="P181" s="2" t="s">
        <v>63</v>
      </c>
      <c r="Q181" s="2" t="s">
        <v>93</v>
      </c>
      <c r="R181" s="2" t="s">
        <v>429</v>
      </c>
    </row>
    <row r="182" spans="1:18" ht="105" customHeight="1" x14ac:dyDescent="0.35">
      <c r="A182" s="2" t="s">
        <v>426</v>
      </c>
      <c r="B182" s="2" t="s">
        <v>427</v>
      </c>
      <c r="C182" s="2">
        <v>2021</v>
      </c>
      <c r="D182" s="2" t="s">
        <v>428</v>
      </c>
      <c r="E182" s="2" t="s">
        <v>21</v>
      </c>
      <c r="F182" s="2" t="s">
        <v>22</v>
      </c>
      <c r="G182" s="2" t="s">
        <v>23</v>
      </c>
      <c r="H182" s="2" t="s">
        <v>24</v>
      </c>
      <c r="I182" s="2" t="s">
        <v>25</v>
      </c>
      <c r="J182" s="2" t="s">
        <v>39</v>
      </c>
      <c r="K182" s="2" t="s">
        <v>27</v>
      </c>
      <c r="L182" s="2">
        <v>66.25</v>
      </c>
      <c r="M182" s="2"/>
      <c r="N182" s="2" t="s">
        <v>28</v>
      </c>
      <c r="O182" s="2">
        <v>77.16</v>
      </c>
      <c r="P182" s="2" t="s">
        <v>63</v>
      </c>
      <c r="Q182" s="2" t="s">
        <v>93</v>
      </c>
      <c r="R182" s="2" t="s">
        <v>429</v>
      </c>
    </row>
    <row r="183" spans="1:18" ht="58.5" customHeight="1" x14ac:dyDescent="0.35">
      <c r="A183" s="3" t="s">
        <v>403</v>
      </c>
      <c r="B183" s="3" t="s">
        <v>404</v>
      </c>
      <c r="C183" s="3">
        <v>2017</v>
      </c>
      <c r="D183" s="3" t="s">
        <v>405</v>
      </c>
      <c r="E183" s="3" t="s">
        <v>21</v>
      </c>
      <c r="F183" s="3" t="s">
        <v>22</v>
      </c>
      <c r="G183" s="3" t="s">
        <v>23</v>
      </c>
      <c r="H183" s="3" t="s">
        <v>24</v>
      </c>
      <c r="I183" s="3" t="s">
        <v>25</v>
      </c>
      <c r="J183" s="3" t="s">
        <v>26</v>
      </c>
      <c r="K183" s="3" t="s">
        <v>27</v>
      </c>
      <c r="L183" s="3">
        <v>5.72</v>
      </c>
      <c r="M183" s="3">
        <v>6.12</v>
      </c>
      <c r="N183" s="3" t="s">
        <v>28</v>
      </c>
      <c r="O183" s="3">
        <v>5.66</v>
      </c>
      <c r="P183" s="3" t="s">
        <v>46</v>
      </c>
      <c r="Q183" s="3" t="s">
        <v>93</v>
      </c>
      <c r="R183" s="3"/>
    </row>
    <row r="184" spans="1:18" ht="67.5" customHeight="1" x14ac:dyDescent="0.35">
      <c r="A184" s="2" t="s">
        <v>403</v>
      </c>
      <c r="B184" s="2" t="s">
        <v>404</v>
      </c>
      <c r="C184" s="2">
        <v>2017</v>
      </c>
      <c r="D184" s="2" t="s">
        <v>405</v>
      </c>
      <c r="E184" s="2" t="s">
        <v>21</v>
      </c>
      <c r="F184" s="2" t="s">
        <v>22</v>
      </c>
      <c r="G184" s="2" t="s">
        <v>23</v>
      </c>
      <c r="H184" s="2" t="s">
        <v>24</v>
      </c>
      <c r="I184" s="2" t="s">
        <v>25</v>
      </c>
      <c r="J184" s="2" t="s">
        <v>32</v>
      </c>
      <c r="K184" s="2" t="s">
        <v>27</v>
      </c>
      <c r="L184" s="2">
        <v>7.78</v>
      </c>
      <c r="M184" s="2">
        <v>6.97</v>
      </c>
      <c r="N184" s="2" t="s">
        <v>28</v>
      </c>
      <c r="O184" s="2">
        <v>7.05</v>
      </c>
      <c r="P184" s="2" t="s">
        <v>46</v>
      </c>
      <c r="Q184" s="2" t="s">
        <v>93</v>
      </c>
      <c r="R184" s="2"/>
    </row>
    <row r="185" spans="1:18" ht="81" customHeight="1" x14ac:dyDescent="0.35">
      <c r="A185" s="3" t="s">
        <v>406</v>
      </c>
      <c r="B185" s="3" t="s">
        <v>407</v>
      </c>
      <c r="C185" s="3">
        <v>2017</v>
      </c>
      <c r="D185" s="3" t="s">
        <v>408</v>
      </c>
      <c r="E185" s="3" t="s">
        <v>21</v>
      </c>
      <c r="F185" s="3" t="s">
        <v>22</v>
      </c>
      <c r="G185" s="3" t="s">
        <v>23</v>
      </c>
      <c r="H185" s="3" t="s">
        <v>24</v>
      </c>
      <c r="I185" s="3" t="s">
        <v>25</v>
      </c>
      <c r="J185" s="3" t="s">
        <v>32</v>
      </c>
      <c r="K185" s="3" t="s">
        <v>27</v>
      </c>
      <c r="L185" s="5">
        <f>(4.516+2.767+1.467+2.694)/4</f>
        <v>2.8609999999999998</v>
      </c>
      <c r="M185" s="3">
        <v>3.3260000000000001</v>
      </c>
      <c r="N185" s="3" t="s">
        <v>28</v>
      </c>
      <c r="O185" s="5">
        <f>(4.463+2.499+1.566+2.809)/4</f>
        <v>2.8342499999999999</v>
      </c>
      <c r="P185" s="3" t="s">
        <v>63</v>
      </c>
      <c r="Q185" s="3" t="s">
        <v>93</v>
      </c>
      <c r="R185" s="3" t="s">
        <v>409</v>
      </c>
    </row>
    <row r="186" spans="1:18" ht="97.5" customHeight="1" x14ac:dyDescent="0.35">
      <c r="A186" s="2" t="s">
        <v>406</v>
      </c>
      <c r="B186" s="2" t="s">
        <v>407</v>
      </c>
      <c r="C186" s="2">
        <v>2017</v>
      </c>
      <c r="D186" s="2" t="s">
        <v>408</v>
      </c>
      <c r="E186" s="2" t="s">
        <v>21</v>
      </c>
      <c r="F186" s="2" t="s">
        <v>22</v>
      </c>
      <c r="G186" s="2" t="s">
        <v>23</v>
      </c>
      <c r="H186" s="2" t="s">
        <v>24</v>
      </c>
      <c r="I186" s="2" t="s">
        <v>25</v>
      </c>
      <c r="J186" s="2" t="s">
        <v>26</v>
      </c>
      <c r="K186" s="2" t="s">
        <v>27</v>
      </c>
      <c r="L186" s="6">
        <f>(3.633+2.35+1.226+2.092)/4</f>
        <v>2.32525</v>
      </c>
      <c r="M186" s="2">
        <v>2.774</v>
      </c>
      <c r="N186" s="2" t="s">
        <v>28</v>
      </c>
      <c r="O186" s="6">
        <f>(3.876+2.061+1.266+2.167)/4</f>
        <v>2.3424999999999998</v>
      </c>
      <c r="P186" s="2" t="s">
        <v>63</v>
      </c>
      <c r="Q186" s="2" t="s">
        <v>93</v>
      </c>
      <c r="R186" s="2" t="s">
        <v>409</v>
      </c>
    </row>
    <row r="187" spans="1:18" ht="61.5" customHeight="1" x14ac:dyDescent="0.35">
      <c r="A187" s="2" t="s">
        <v>410</v>
      </c>
      <c r="B187" s="2" t="s">
        <v>411</v>
      </c>
      <c r="C187" s="2">
        <v>2022</v>
      </c>
      <c r="D187" s="2" t="s">
        <v>412</v>
      </c>
      <c r="E187" s="2" t="s">
        <v>21</v>
      </c>
      <c r="F187" s="2" t="s">
        <v>22</v>
      </c>
      <c r="G187" s="2" t="s">
        <v>23</v>
      </c>
      <c r="H187" s="2" t="s">
        <v>24</v>
      </c>
      <c r="I187" s="2" t="s">
        <v>25</v>
      </c>
      <c r="J187" s="2" t="s">
        <v>37</v>
      </c>
      <c r="K187" s="2" t="s">
        <v>27</v>
      </c>
      <c r="L187" s="2">
        <v>0.61</v>
      </c>
      <c r="M187" s="2">
        <v>0.61</v>
      </c>
      <c r="N187" s="2" t="s">
        <v>28</v>
      </c>
      <c r="O187" s="2">
        <v>0.59</v>
      </c>
      <c r="P187" s="2" t="s">
        <v>63</v>
      </c>
      <c r="Q187" s="2" t="s">
        <v>93</v>
      </c>
      <c r="R187" s="2" t="s">
        <v>413</v>
      </c>
    </row>
    <row r="188" spans="1:18" ht="55.5" customHeight="1" x14ac:dyDescent="0.35">
      <c r="A188" s="3" t="s">
        <v>410</v>
      </c>
      <c r="B188" s="3" t="s">
        <v>411</v>
      </c>
      <c r="C188" s="3">
        <v>2022</v>
      </c>
      <c r="D188" s="3" t="s">
        <v>412</v>
      </c>
      <c r="E188" s="3" t="s">
        <v>21</v>
      </c>
      <c r="F188" s="3" t="s">
        <v>22</v>
      </c>
      <c r="G188" s="3" t="s">
        <v>23</v>
      </c>
      <c r="H188" s="3" t="s">
        <v>24</v>
      </c>
      <c r="I188" s="3" t="s">
        <v>25</v>
      </c>
      <c r="J188" s="3" t="s">
        <v>26</v>
      </c>
      <c r="K188" s="3" t="s">
        <v>27</v>
      </c>
      <c r="L188" s="3">
        <v>5.19</v>
      </c>
      <c r="M188" s="3">
        <v>6.17</v>
      </c>
      <c r="N188" s="3" t="s">
        <v>28</v>
      </c>
      <c r="O188" s="3">
        <v>4.92</v>
      </c>
      <c r="P188" s="3" t="s">
        <v>63</v>
      </c>
      <c r="Q188" s="3" t="s">
        <v>93</v>
      </c>
      <c r="R188" s="3" t="s">
        <v>413</v>
      </c>
    </row>
    <row r="189" spans="1:18" ht="84" customHeight="1" x14ac:dyDescent="0.35">
      <c r="A189" s="2" t="s">
        <v>410</v>
      </c>
      <c r="B189" s="2" t="s">
        <v>411</v>
      </c>
      <c r="C189" s="2">
        <v>2022</v>
      </c>
      <c r="D189" s="2" t="s">
        <v>412</v>
      </c>
      <c r="E189" s="2" t="s">
        <v>21</v>
      </c>
      <c r="F189" s="2" t="s">
        <v>22</v>
      </c>
      <c r="G189" s="2" t="s">
        <v>23</v>
      </c>
      <c r="H189" s="2" t="s">
        <v>24</v>
      </c>
      <c r="I189" s="2" t="s">
        <v>25</v>
      </c>
      <c r="J189" s="2" t="s">
        <v>32</v>
      </c>
      <c r="K189" s="2" t="s">
        <v>27</v>
      </c>
      <c r="L189" s="2">
        <v>6.93</v>
      </c>
      <c r="M189" s="2">
        <v>8.06</v>
      </c>
      <c r="N189" s="2" t="s">
        <v>28</v>
      </c>
      <c r="O189" s="2">
        <v>5.86</v>
      </c>
      <c r="P189" s="2" t="s">
        <v>63</v>
      </c>
      <c r="Q189" s="2" t="s">
        <v>93</v>
      </c>
      <c r="R189" s="2" t="s">
        <v>413</v>
      </c>
    </row>
    <row r="190" spans="1:18" ht="55.5" customHeight="1" x14ac:dyDescent="0.35">
      <c r="A190" s="3" t="s">
        <v>440</v>
      </c>
      <c r="B190" s="3" t="s">
        <v>435</v>
      </c>
      <c r="C190" s="3">
        <v>2024</v>
      </c>
      <c r="D190" s="3" t="s">
        <v>436</v>
      </c>
      <c r="E190" s="3" t="s">
        <v>56</v>
      </c>
      <c r="F190" s="3" t="s">
        <v>22</v>
      </c>
      <c r="G190" s="3" t="s">
        <v>437</v>
      </c>
      <c r="H190" s="3" t="s">
        <v>438</v>
      </c>
      <c r="I190" s="3" t="s">
        <v>25</v>
      </c>
      <c r="J190" s="3" t="s">
        <v>32</v>
      </c>
      <c r="K190" s="3" t="s">
        <v>365</v>
      </c>
      <c r="L190" s="3">
        <v>3.4</v>
      </c>
      <c r="M190" s="3">
        <v>3.4</v>
      </c>
      <c r="N190" s="3" t="s">
        <v>439</v>
      </c>
      <c r="O190" s="3">
        <v>3.2</v>
      </c>
      <c r="P190" s="3" t="s">
        <v>38</v>
      </c>
      <c r="Q190" s="3" t="s">
        <v>100</v>
      </c>
      <c r="R190" s="3"/>
    </row>
    <row r="191" spans="1:18" ht="55.5" customHeight="1" x14ac:dyDescent="0.35">
      <c r="A191" s="3" t="s">
        <v>440</v>
      </c>
      <c r="B191" s="3" t="s">
        <v>435</v>
      </c>
      <c r="C191" s="3">
        <v>2024</v>
      </c>
      <c r="D191" s="3" t="s">
        <v>436</v>
      </c>
      <c r="E191" s="3" t="s">
        <v>56</v>
      </c>
      <c r="F191" s="3" t="s">
        <v>22</v>
      </c>
      <c r="G191" s="3" t="s">
        <v>437</v>
      </c>
      <c r="H191" s="3" t="s">
        <v>438</v>
      </c>
      <c r="I191" s="3" t="s">
        <v>25</v>
      </c>
      <c r="J191" s="3" t="s">
        <v>26</v>
      </c>
      <c r="K191" s="3" t="s">
        <v>365</v>
      </c>
      <c r="L191" s="3">
        <v>2.85</v>
      </c>
      <c r="M191" s="3">
        <v>2.84</v>
      </c>
      <c r="N191" s="3" t="s">
        <v>439</v>
      </c>
      <c r="O191" s="3">
        <v>2.59</v>
      </c>
      <c r="P191" s="3" t="s">
        <v>38</v>
      </c>
      <c r="Q191" s="3" t="s">
        <v>100</v>
      </c>
      <c r="R191" s="3"/>
    </row>
  </sheetData>
  <autoFilter ref="A1:Q189" xr:uid="{00000000-0009-0000-0000-000000000000}"/>
  <hyperlinks>
    <hyperlink ref="D190" r:id="rId1" display="https://doi-org.kb-itu.idm.oclc.org/10.1109/SMARTCOMP61445.2024.00080" xr:uid="{D601D4EB-6DC7-49EB-A35E-009911D1A2E8}"/>
    <hyperlink ref="D191" r:id="rId2" display="https://doi-org.kb-itu.idm.oclc.org/10.1109/SMARTCOMP61445.2024.00080" xr:uid="{870834C0-45C8-40AF-9EEF-77F4B66593FE}"/>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mlut@itu.dk</dc:creator>
  <cp:lastModifiedBy>Martin Lund Trinhammer</cp:lastModifiedBy>
  <cp:revision>0</cp:revision>
  <dcterms:created xsi:type="dcterms:W3CDTF">2026-03-26T18:17:57Z</dcterms:created>
  <dcterms:modified xsi:type="dcterms:W3CDTF">2026-09-30T14:29:27Z</dcterms:modified>
  <dc:language>en-US</dc:language>
</cp:coreProperties>
</file>